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\Downloads\LPH 3-9-26\"/>
    </mc:Choice>
  </mc:AlternateContent>
  <xr:revisionPtr revIDLastSave="0" documentId="8_{48098CAD-EA47-4066-84A8-7B3617684A26}" xr6:coauthVersionLast="47" xr6:coauthVersionMax="47" xr10:uidLastSave="{00000000-0000-0000-0000-000000000000}"/>
  <bookViews>
    <workbookView xWindow="-108" yWindow="-108" windowWidth="23256" windowHeight="13176" xr2:uid="{1D2C2024-72C5-4EC9-9A0D-AD052DF9FBA1}"/>
  </bookViews>
  <sheets>
    <sheet name="3-9" sheetId="1" r:id="rId1"/>
  </sheets>
  <definedNames>
    <definedName name="_xlnm.Print_Area" localSheetId="0">'3-9'!$A$1:$N$45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78" i="1" l="1"/>
  <c r="T78" i="1"/>
  <c r="S78" i="1"/>
  <c r="AA53" i="1"/>
  <c r="Z53" i="1"/>
  <c r="Y53" i="1"/>
  <c r="U53" i="1"/>
  <c r="U54" i="1" s="1"/>
  <c r="T53" i="1"/>
  <c r="T54" i="1" s="1"/>
  <c r="S53" i="1"/>
  <c r="S54" i="1" s="1"/>
  <c r="E39" i="1"/>
  <c r="C38" i="1"/>
  <c r="C36" i="1"/>
  <c r="C40" i="1" s="1"/>
  <c r="E35" i="1"/>
  <c r="E34" i="1"/>
  <c r="J29" i="1"/>
  <c r="I29" i="1"/>
  <c r="N28" i="1"/>
  <c r="L28" i="1"/>
  <c r="K28" i="1"/>
  <c r="H28" i="1"/>
  <c r="F28" i="1"/>
  <c r="K27" i="1"/>
  <c r="H27" i="1"/>
  <c r="N27" i="1" s="1"/>
  <c r="F27" i="1"/>
  <c r="K26" i="1"/>
  <c r="H26" i="1"/>
  <c r="L26" i="1" s="1"/>
  <c r="F26" i="1"/>
  <c r="H25" i="1"/>
  <c r="N25" i="1" s="1"/>
  <c r="F25" i="1"/>
  <c r="K25" i="1" s="1"/>
  <c r="F24" i="1"/>
  <c r="K24" i="1" s="1"/>
  <c r="F23" i="1"/>
  <c r="K23" i="1" s="1"/>
  <c r="F22" i="1"/>
  <c r="H22" i="1" s="1"/>
  <c r="K21" i="1"/>
  <c r="F21" i="1"/>
  <c r="H21" i="1" s="1"/>
  <c r="F20" i="1"/>
  <c r="K20" i="1" s="1"/>
  <c r="N19" i="1"/>
  <c r="L19" i="1"/>
  <c r="K19" i="1"/>
  <c r="H19" i="1"/>
  <c r="F19" i="1"/>
  <c r="K18" i="1"/>
  <c r="F18" i="1"/>
  <c r="H18" i="1" s="1"/>
  <c r="N17" i="1"/>
  <c r="L17" i="1"/>
  <c r="K17" i="1"/>
  <c r="H17" i="1"/>
  <c r="F17" i="1"/>
  <c r="K16" i="1"/>
  <c r="H16" i="1"/>
  <c r="N16" i="1" s="1"/>
  <c r="F16" i="1"/>
  <c r="K15" i="1"/>
  <c r="H15" i="1"/>
  <c r="L15" i="1" s="1"/>
  <c r="F15" i="1"/>
  <c r="H14" i="1"/>
  <c r="N14" i="1" s="1"/>
  <c r="F14" i="1"/>
  <c r="K14" i="1" s="1"/>
  <c r="F13" i="1"/>
  <c r="K13" i="1" s="1"/>
  <c r="E13" i="1"/>
  <c r="N9" i="1"/>
  <c r="L9" i="1"/>
  <c r="K9" i="1"/>
  <c r="H9" i="1"/>
  <c r="F9" i="1"/>
  <c r="E9" i="1"/>
  <c r="E10" i="1" s="1"/>
  <c r="K8" i="1"/>
  <c r="F8" i="1"/>
  <c r="H8" i="1" s="1"/>
  <c r="N7" i="1"/>
  <c r="L7" i="1"/>
  <c r="K7" i="1"/>
  <c r="H7" i="1"/>
  <c r="F7" i="1"/>
  <c r="E7" i="1"/>
  <c r="K6" i="1"/>
  <c r="F6" i="1"/>
  <c r="H6" i="1" s="1"/>
  <c r="N8" i="1" l="1"/>
  <c r="L8" i="1"/>
  <c r="N18" i="1"/>
  <c r="L18" i="1"/>
  <c r="N6" i="1"/>
  <c r="L6" i="1"/>
  <c r="E11" i="1"/>
  <c r="F10" i="1"/>
  <c r="N22" i="1"/>
  <c r="L22" i="1"/>
  <c r="N21" i="1"/>
  <c r="L21" i="1"/>
  <c r="H24" i="1"/>
  <c r="B36" i="1"/>
  <c r="N15" i="1"/>
  <c r="H20" i="1"/>
  <c r="B37" i="1" s="1"/>
  <c r="K22" i="1"/>
  <c r="N26" i="1"/>
  <c r="H13" i="1"/>
  <c r="L16" i="1"/>
  <c r="H23" i="1"/>
  <c r="L27" i="1"/>
  <c r="L14" i="1"/>
  <c r="L25" i="1"/>
  <c r="K10" i="1" l="1"/>
  <c r="H10" i="1"/>
  <c r="B40" i="1"/>
  <c r="E36" i="1"/>
  <c r="L23" i="1"/>
  <c r="N23" i="1"/>
  <c r="E12" i="1"/>
  <c r="F12" i="1" s="1"/>
  <c r="F11" i="1"/>
  <c r="N20" i="1"/>
  <c r="L20" i="1"/>
  <c r="N24" i="1"/>
  <c r="L24" i="1"/>
  <c r="N13" i="1"/>
  <c r="L13" i="1"/>
  <c r="K12" i="1" l="1"/>
  <c r="H12" i="1"/>
  <c r="H11" i="1"/>
  <c r="K11" i="1"/>
  <c r="F29" i="1"/>
  <c r="N10" i="1"/>
  <c r="L10" i="1"/>
  <c r="H29" i="1"/>
  <c r="N29" i="1" s="1"/>
  <c r="B38" i="1"/>
  <c r="E38" i="1" s="1"/>
  <c r="L11" i="1" l="1"/>
  <c r="N11" i="1"/>
  <c r="N12" i="1"/>
  <c r="L12" i="1"/>
</calcChain>
</file>

<file path=xl/sharedStrings.xml><?xml version="1.0" encoding="utf-8"?>
<sst xmlns="http://schemas.openxmlformats.org/spreadsheetml/2006/main" count="118" uniqueCount="67">
  <si>
    <t>PEMBAGIAN PAKAN KANDANG 3 ALUR</t>
  </si>
  <si>
    <t xml:space="preserve"> TANGGAL :  KAMIS, 3 SEPTEMBER  2026 (3 ALUR)</t>
  </si>
  <si>
    <t>KANDANG</t>
  </si>
  <si>
    <t xml:space="preserve">Jenis Pakan </t>
  </si>
  <si>
    <t xml:space="preserve">UMUR </t>
  </si>
  <si>
    <t>Jumlah ayam</t>
  </si>
  <si>
    <t>Konsumsi (GR)</t>
  </si>
  <si>
    <t>Jumlah pakan (KG)</t>
  </si>
  <si>
    <t>Sisa (KG)</t>
  </si>
  <si>
    <t>Yang harus di Kirim</t>
  </si>
  <si>
    <t>pakan yg habis (gr)</t>
  </si>
  <si>
    <t>K0NS. REAL / ekor (gr)</t>
  </si>
  <si>
    <t>SELISIH kekurangan (gr) /ekor</t>
  </si>
  <si>
    <t>Ket</t>
  </si>
  <si>
    <t>Kg</t>
  </si>
  <si>
    <t>sak</t>
  </si>
  <si>
    <t>penambahan (kg)</t>
  </si>
  <si>
    <t>1. KAWAT (INDRA YUHADI)</t>
  </si>
  <si>
    <t xml:space="preserve">LAYER </t>
  </si>
  <si>
    <t xml:space="preserve"> </t>
  </si>
  <si>
    <t>2. KAWAT (MUHAMMAD FAUZI)</t>
  </si>
  <si>
    <t>3. KAWAT (IYAL)</t>
  </si>
  <si>
    <t>4. KAWAT (SARIDIN HARAHAP)</t>
  </si>
  <si>
    <t>5.  KAWAT (AHMAT ABDULLAH)</t>
  </si>
  <si>
    <t>6. KAWAT (ABDUL ABI MUTHOLIB)</t>
  </si>
  <si>
    <t>7. KAYU (ADI SAPUTRA)</t>
  </si>
  <si>
    <t>8. KAYU (IRFAN SYAH)</t>
  </si>
  <si>
    <t>9. KAYU (PITO HERMAN)</t>
  </si>
  <si>
    <t>SPESIAL</t>
  </si>
  <si>
    <t>10. KAYU (SANDI PRAYUGA)</t>
  </si>
  <si>
    <t>11. KAYU (PITO HERMAN)</t>
  </si>
  <si>
    <t>12. KAYU (AFRIZAL) NOVOGEN</t>
  </si>
  <si>
    <t>LAYER</t>
  </si>
  <si>
    <t>13. KAYU (AFRIZAL) NOVOGEN</t>
  </si>
  <si>
    <t>14. KAYU (AFRIZAL)  NOVOGEN</t>
  </si>
  <si>
    <t>15. KAYU (AFRIZAL) NOVOGEN</t>
  </si>
  <si>
    <t>16. KAYU (AFRIZAL) NOVOGEN</t>
  </si>
  <si>
    <t>17. KAYU (ILLIYA KASIM)</t>
  </si>
  <si>
    <t>18. KAYU (ILLIYA KASIM)</t>
  </si>
  <si>
    <t>19. KAYU (ILLIYA KASIM)</t>
  </si>
  <si>
    <t>Total</t>
  </si>
  <si>
    <t>KEBUTUHAN TANGGAL 2-09-2026</t>
  </si>
  <si>
    <t>PERIODE AYAM</t>
  </si>
  <si>
    <t>JMLH PAKAN (KG)</t>
  </si>
  <si>
    <t>SISA KEMAREN</t>
  </si>
  <si>
    <t>KEKURANGAN</t>
  </si>
  <si>
    <t>SP KHUSUS</t>
  </si>
  <si>
    <t>SP TREIL</t>
  </si>
  <si>
    <t>SPESIAL 20%</t>
  </si>
  <si>
    <t>GROWER 75%</t>
  </si>
  <si>
    <t>INDUK 20%</t>
  </si>
  <si>
    <t>SELFMIX 30</t>
  </si>
  <si>
    <t>PETUGAS</t>
  </si>
  <si>
    <t>SOPIR</t>
  </si>
  <si>
    <t>PENGAWAS</t>
  </si>
  <si>
    <t>(                                                                )</t>
  </si>
  <si>
    <t>(                                                  )</t>
  </si>
  <si>
    <t>(                                        )</t>
  </si>
  <si>
    <t xml:space="preserve">SPESIAL </t>
  </si>
  <si>
    <t>INDUK</t>
  </si>
  <si>
    <t>JUMLAH PAKAN</t>
  </si>
  <si>
    <t>SAK</t>
  </si>
  <si>
    <t>KG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</si>
  <si>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</si>
  <si>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</si>
  <si>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>7A. KAYU (ADI SAPUTRA)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</si>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</sst>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_(* #,##0_);_(* \(#,##0\);_(* &quot;-&quot;?_);_(@_)"/>
    <numFmt numFmtId="166" formatCode="0.0"/>
    <numFmt numFmtId="167" formatCode="_(* #,##0.0_);_(* \(#,##0.0\);_(* &quot;-&quot;_);_(@_)"/>
  </numFmts>
  <fonts count="2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20"/>
      <color rgb="FF1F4A7E"/>
      <name val="Calibri"/>
      <family val="2"/>
    </font>
    <font>
      <sz val="11"/>
      <color rgb="FF1F4A7E"/>
      <name val="Calibri"/>
      <family val="2"/>
    </font>
    <font>
      <sz val="12"/>
      <color rgb="FF1F4A7E"/>
      <name val="Calibri"/>
      <family val="2"/>
    </font>
    <font>
      <sz val="10"/>
      <color rgb="FF1F4A7E"/>
      <name val="Calibri"/>
      <family val="2"/>
    </font>
    <font>
      <b/>
      <sz val="12"/>
      <color rgb="FF1F4A7E"/>
      <name val="Times New Roman"/>
      <family val="1"/>
    </font>
    <font>
      <b/>
      <sz val="12"/>
      <color rgb="FF254061"/>
      <name val="Times New Roman"/>
      <family val="1"/>
    </font>
    <font>
      <b/>
      <sz val="20"/>
      <color rgb="FF254061"/>
      <name val="Times New Roman"/>
      <family val="1"/>
    </font>
    <font>
      <b/>
      <sz val="20"/>
      <color rgb="FF254061"/>
      <name val="Calibri"/>
      <family val="2"/>
    </font>
    <font>
      <b/>
      <sz val="11"/>
      <color rgb="FF254061"/>
      <name val="Times New Roman"/>
      <family val="1"/>
    </font>
    <font>
      <b/>
      <sz val="11"/>
      <color rgb="FF1F4A7E"/>
      <name val="Times New Roman"/>
      <family val="1"/>
    </font>
    <font>
      <b/>
      <sz val="18"/>
      <color rgb="FF254061"/>
      <name val="Times New Roman"/>
      <family val="1"/>
    </font>
    <font>
      <b/>
      <sz val="10"/>
      <color rgb="FF1F4A7E"/>
      <name val="Times New Roman"/>
      <family val="1"/>
    </font>
    <font>
      <b/>
      <sz val="11"/>
      <color rgb="FF1F4A7E"/>
      <name val="Calibri"/>
      <family val="2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22"/>
      <color rgb="FF254061"/>
      <name val="Times New Roman"/>
      <family val="1"/>
    </font>
    <font>
      <b/>
      <sz val="16"/>
      <color rgb="FF254061"/>
      <name val="Times New Roman"/>
      <family val="1"/>
    </font>
    <font>
      <b/>
      <sz val="40"/>
      <name val="Times New Roman"/>
      <family val="1"/>
    </font>
    <font>
      <b/>
      <sz val="24"/>
      <name val="Times New Roman"/>
      <family val="1"/>
    </font>
    <font>
      <b/>
      <sz val="36"/>
      <name val="Times New Roman"/>
      <family val="1"/>
    </font>
    <font>
      <b/>
      <sz val="24"/>
      <color rgb="FF254061"/>
      <name val="Times New Roman"/>
      <family val="1"/>
    </font>
    <font>
      <b/>
      <sz val="16"/>
      <color rgb="FF1F4A7E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58ED4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</fills>
  <borders count="31">
    <border>
      <left/>
      <right/>
      <top/>
      <bottom/>
      <diagonal/>
    </border>
    <border>
      <left style="medium">
        <color rgb="FF963734"/>
      </left>
      <right style="medium">
        <color rgb="FF963734"/>
      </right>
      <top style="medium">
        <color rgb="FF963734"/>
      </top>
      <bottom/>
      <diagonal/>
    </border>
    <border>
      <left style="medium">
        <color rgb="FF963734"/>
      </left>
      <right/>
      <top style="medium">
        <color rgb="FF963734"/>
      </top>
      <bottom style="medium">
        <color rgb="FF963734"/>
      </bottom>
      <diagonal/>
    </border>
    <border>
      <left/>
      <right/>
      <top style="medium">
        <color rgb="FF963734"/>
      </top>
      <bottom style="medium">
        <color rgb="FF963734"/>
      </bottom>
      <diagonal/>
    </border>
    <border>
      <left/>
      <right style="medium">
        <color rgb="FF963734"/>
      </right>
      <top style="medium">
        <color rgb="FF963734"/>
      </top>
      <bottom style="medium">
        <color rgb="FF963734"/>
      </bottom>
      <diagonal/>
    </border>
    <border>
      <left style="medium">
        <color rgb="FF963734"/>
      </left>
      <right style="medium">
        <color rgb="FF963734"/>
      </right>
      <top/>
      <bottom style="medium">
        <color rgb="FF963734"/>
      </bottom>
      <diagonal/>
    </border>
    <border>
      <left style="medium">
        <color rgb="FF963734"/>
      </left>
      <right style="medium">
        <color rgb="FF963734"/>
      </right>
      <top/>
      <bottom style="medium">
        <color indexed="60"/>
      </bottom>
      <diagonal/>
    </border>
    <border>
      <left style="medium">
        <color rgb="FF963734"/>
      </left>
      <right style="medium">
        <color rgb="FF963734"/>
      </right>
      <top/>
      <bottom/>
      <diagonal/>
    </border>
    <border>
      <left style="medium">
        <color rgb="FF963734"/>
      </left>
      <right style="medium">
        <color rgb="FF963734"/>
      </right>
      <top style="medium">
        <color rgb="FF963734"/>
      </top>
      <bottom style="medium">
        <color rgb="FF963734"/>
      </bottom>
      <diagonal/>
    </border>
    <border>
      <left style="medium">
        <color rgb="FF993300"/>
      </left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/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/>
      <right style="medium">
        <color rgb="FF963734"/>
      </right>
      <top/>
      <bottom style="medium">
        <color rgb="FF963734"/>
      </bottom>
      <diagonal/>
    </border>
    <border>
      <left style="thin">
        <color rgb="FF000000"/>
      </left>
      <right style="medium">
        <color rgb="FF993300"/>
      </right>
      <top style="medium">
        <color rgb="FF993300"/>
      </top>
      <bottom style="medium">
        <color rgb="FF993300"/>
      </bottom>
      <diagonal/>
    </border>
    <border>
      <left style="medium">
        <color rgb="FF963734"/>
      </left>
      <right/>
      <top/>
      <bottom style="medium">
        <color rgb="FF963734"/>
      </bottom>
      <diagonal/>
    </border>
    <border>
      <left style="medium">
        <color rgb="FF993300"/>
      </left>
      <right/>
      <top style="medium">
        <color rgb="FF993300"/>
      </top>
      <bottom style="medium">
        <color rgb="FF99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963734"/>
      </bottom>
      <diagonal/>
    </border>
    <border>
      <left style="thin">
        <color rgb="FF974706"/>
      </left>
      <right style="thin">
        <color rgb="FF974706"/>
      </right>
      <top style="thin">
        <color rgb="FF974706"/>
      </top>
      <bottom style="thin">
        <color rgb="FF974706"/>
      </bottom>
      <diagonal/>
    </border>
    <border>
      <left style="thin">
        <color rgb="FF974706"/>
      </left>
      <right/>
      <top style="thin">
        <color rgb="FF974706"/>
      </top>
      <bottom style="thin">
        <color rgb="FF974706"/>
      </bottom>
      <diagonal/>
    </border>
    <border>
      <left/>
      <right style="thin">
        <color rgb="FF974706"/>
      </right>
      <top style="thin">
        <color rgb="FF974706"/>
      </top>
      <bottom style="thin">
        <color rgb="FF974706"/>
      </bottom>
      <diagonal/>
    </border>
    <border>
      <left style="thin">
        <color rgb="FF963734"/>
      </left>
      <right style="thin">
        <color rgb="FF963734"/>
      </right>
      <top style="thin">
        <color rgb="FF963734"/>
      </top>
      <bottom style="thin">
        <color rgb="FF963734"/>
      </bottom>
      <diagonal/>
    </border>
    <border>
      <left style="thin">
        <color rgb="FF963734"/>
      </left>
      <right/>
      <top style="thin">
        <color rgb="FF963734"/>
      </top>
      <bottom/>
      <diagonal/>
    </border>
    <border>
      <left/>
      <right/>
      <top style="thin">
        <color rgb="FF963734"/>
      </top>
      <bottom/>
      <diagonal/>
    </border>
    <border>
      <left/>
      <right style="thin">
        <color rgb="FF963734"/>
      </right>
      <top style="thin">
        <color rgb="FF963734"/>
      </top>
      <bottom/>
      <diagonal/>
    </border>
    <border>
      <left style="thin">
        <color rgb="FF0F253F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F253F"/>
      </left>
      <right/>
      <top/>
      <bottom style="thin">
        <color rgb="FF0F253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>
      <protection locked="0"/>
    </xf>
    <xf numFmtId="0" fontId="1" fillId="10" borderId="0">
      <protection locked="0"/>
    </xf>
    <xf numFmtId="164" fontId="1" fillId="0" borderId="0">
      <protection locked="0"/>
    </xf>
  </cellStyleXfs>
  <cellXfs count="173">
    <xf numFmtId="0" fontId="0" fillId="0" borderId="0" xfId="0"/>
    <xf numFmtId="0" fontId="2" fillId="0" borderId="0" xfId="1" applyFont="1" applyAlignment="1" applyProtection="1">
      <alignment horizontal="center" vertical="center" wrapText="1"/>
    </xf>
    <xf numFmtId="0" fontId="1" fillId="0" borderId="0" xfId="1" applyProtection="1"/>
    <xf numFmtId="0" fontId="2" fillId="0" borderId="0" xfId="1" applyFont="1" applyAlignment="1" applyProtection="1">
      <alignment horizontal="center" vertical="center" wrapText="1"/>
    </xf>
    <xf numFmtId="164" fontId="2" fillId="0" borderId="0" xfId="1" applyNumberFormat="1" applyFont="1" applyAlignment="1" applyProtection="1">
      <alignment horizontal="center" vertical="center" wrapText="1"/>
    </xf>
    <xf numFmtId="3" fontId="2" fillId="0" borderId="0" xfId="1" applyNumberFormat="1" applyFont="1" applyAlignment="1" applyProtection="1">
      <alignment horizontal="center" vertical="center" wrapText="1"/>
    </xf>
    <xf numFmtId="0" fontId="3" fillId="0" borderId="0" xfId="1" applyFont="1" applyProtection="1"/>
    <xf numFmtId="0" fontId="4" fillId="2" borderId="0" xfId="1" applyFont="1" applyFill="1" applyAlignment="1" applyProtection="1">
      <alignment horizontal="center" vertical="center"/>
    </xf>
    <xf numFmtId="0" fontId="4" fillId="2" borderId="0" xfId="1" applyFont="1" applyFill="1" applyAlignment="1" applyProtection="1">
      <alignment vertical="center"/>
    </xf>
    <xf numFmtId="0" fontId="3" fillId="2" borderId="0" xfId="1" applyFont="1" applyFill="1" applyProtection="1"/>
    <xf numFmtId="0" fontId="3" fillId="0" borderId="0" xfId="1" applyFont="1" applyAlignment="1" applyProtection="1">
      <alignment horizontal="center"/>
    </xf>
    <xf numFmtId="3" fontId="3" fillId="0" borderId="0" xfId="1" applyNumberFormat="1" applyFont="1" applyProtection="1"/>
    <xf numFmtId="0" fontId="5" fillId="0" borderId="1" xfId="1" applyFont="1" applyBorder="1" applyAlignment="1" applyProtection="1">
      <alignment horizontal="center" vertical="center"/>
    </xf>
    <xf numFmtId="0" fontId="5" fillId="0" borderId="1" xfId="1" applyFont="1" applyBorder="1" applyAlignment="1" applyProtection="1">
      <alignment horizontal="center" vertical="center" wrapText="1"/>
    </xf>
    <xf numFmtId="164" fontId="5" fillId="0" borderId="1" xfId="1" applyNumberFormat="1" applyFont="1" applyBorder="1" applyAlignment="1" applyProtection="1">
      <alignment horizontal="center" vertical="center" wrapText="1"/>
    </xf>
    <xf numFmtId="0" fontId="5" fillId="0" borderId="2" xfId="1" applyFont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 vertical="center" wrapText="1"/>
    </xf>
    <xf numFmtId="0" fontId="5" fillId="0" borderId="4" xfId="1" applyFont="1" applyBorder="1" applyAlignment="1" applyProtection="1">
      <alignment horizontal="center" vertical="center" wrapText="1"/>
    </xf>
    <xf numFmtId="3" fontId="5" fillId="0" borderId="1" xfId="1" applyNumberFormat="1" applyFont="1" applyBorder="1" applyAlignment="1" applyProtection="1">
      <alignment horizontal="center" vertical="center" wrapText="1"/>
    </xf>
    <xf numFmtId="0" fontId="5" fillId="0" borderId="5" xfId="1" applyFont="1" applyBorder="1" applyAlignment="1" applyProtection="1">
      <alignment horizontal="center" vertical="center"/>
    </xf>
    <xf numFmtId="0" fontId="5" fillId="0" borderId="5" xfId="1" applyFont="1" applyBorder="1" applyAlignment="1" applyProtection="1">
      <alignment horizontal="center" vertical="center" wrapText="1"/>
    </xf>
    <xf numFmtId="0" fontId="5" fillId="0" borderId="6" xfId="1" applyFont="1" applyBorder="1" applyAlignment="1" applyProtection="1">
      <alignment horizontal="center" vertical="center" wrapText="1"/>
    </xf>
    <xf numFmtId="0" fontId="5" fillId="0" borderId="7" xfId="1" applyFont="1" applyBorder="1" applyAlignment="1" applyProtection="1">
      <alignment horizontal="center" vertical="center" wrapText="1"/>
    </xf>
    <xf numFmtId="164" fontId="5" fillId="0" borderId="7" xfId="1" applyNumberFormat="1" applyFont="1" applyBorder="1" applyAlignment="1" applyProtection="1">
      <alignment horizontal="center" vertical="center" wrapText="1"/>
    </xf>
    <xf numFmtId="164" fontId="5" fillId="0" borderId="5" xfId="1" applyNumberFormat="1" applyFont="1" applyBorder="1" applyAlignment="1" applyProtection="1">
      <alignment horizontal="center" vertical="center" wrapText="1"/>
    </xf>
    <xf numFmtId="164" fontId="5" fillId="0" borderId="8" xfId="1" applyNumberFormat="1" applyFont="1" applyBorder="1" applyAlignment="1" applyProtection="1">
      <alignment horizontal="center" vertical="center" wrapText="1"/>
    </xf>
    <xf numFmtId="0" fontId="5" fillId="0" borderId="8" xfId="1" applyFont="1" applyBorder="1" applyAlignment="1" applyProtection="1">
      <alignment horizontal="center" vertical="center" wrapText="1"/>
    </xf>
    <xf numFmtId="3" fontId="5" fillId="0" borderId="5" xfId="1" applyNumberFormat="1" applyFont="1" applyBorder="1" applyAlignment="1" applyProtection="1">
      <alignment horizontal="center" vertical="center" wrapText="1"/>
    </xf>
    <xf numFmtId="0" fontId="6" fillId="0" borderId="5" xfId="1" applyFont="1" applyBorder="1" applyAlignment="1" applyProtection="1">
      <alignment horizontal="center" vertical="center" wrapText="1"/>
    </xf>
    <xf numFmtId="0" fontId="7" fillId="0" borderId="9" xfId="1" applyFont="1" applyBorder="1" applyAlignment="1" applyProtection="1">
      <alignment horizontal="center" vertical="center"/>
    </xf>
    <xf numFmtId="0" fontId="8" fillId="0" borderId="9" xfId="1" applyFont="1" applyBorder="1" applyAlignment="1" applyProtection="1">
      <alignment horizontal="center" vertical="center"/>
    </xf>
    <xf numFmtId="1" fontId="9" fillId="0" borderId="10" xfId="1" applyNumberFormat="1" applyFont="1" applyBorder="1" applyAlignment="1" applyProtection="1">
      <alignment horizontal="center" vertical="center"/>
    </xf>
    <xf numFmtId="1" fontId="8" fillId="0" borderId="9" xfId="1" applyNumberFormat="1" applyFont="1" applyBorder="1" applyAlignment="1" applyProtection="1">
      <alignment horizontal="center" vertical="center"/>
    </xf>
    <xf numFmtId="165" fontId="2" fillId="0" borderId="11" xfId="1" applyNumberFormat="1" applyFont="1" applyBorder="1" applyAlignment="1" applyProtection="1">
      <alignment horizontal="center" vertical="center"/>
    </xf>
    <xf numFmtId="1" fontId="4" fillId="0" borderId="8" xfId="1" applyNumberFormat="1" applyFont="1" applyBorder="1" applyAlignment="1" applyProtection="1">
      <alignment horizontal="center" vertical="center"/>
    </xf>
    <xf numFmtId="3" fontId="4" fillId="0" borderId="8" xfId="1" applyNumberFormat="1" applyFont="1" applyBorder="1" applyAlignment="1" applyProtection="1">
      <alignment horizontal="center" vertical="center"/>
    </xf>
    <xf numFmtId="0" fontId="10" fillId="0" borderId="9" xfId="1" applyFont="1" applyBorder="1" applyAlignment="1" applyProtection="1">
      <alignment horizontal="center" vertical="center"/>
    </xf>
    <xf numFmtId="3" fontId="3" fillId="0" borderId="5" xfId="1" applyNumberFormat="1" applyFont="1" applyBorder="1" applyProtection="1"/>
    <xf numFmtId="165" fontId="3" fillId="0" borderId="5" xfId="1" applyNumberFormat="1" applyFont="1" applyBorder="1" applyProtection="1"/>
    <xf numFmtId="164" fontId="3" fillId="0" borderId="5" xfId="1" applyNumberFormat="1" applyFont="1" applyBorder="1" applyProtection="1"/>
    <xf numFmtId="1" fontId="9" fillId="0" borderId="12" xfId="1" applyNumberFormat="1" applyFont="1" applyBorder="1" applyAlignment="1" applyProtection="1">
      <alignment horizontal="center" vertical="center"/>
    </xf>
    <xf numFmtId="3" fontId="3" fillId="0" borderId="5" xfId="1" applyNumberFormat="1" applyFont="1" applyBorder="1" applyAlignment="1" applyProtection="1">
      <alignment horizontal="right"/>
    </xf>
    <xf numFmtId="0" fontId="6" fillId="3" borderId="5" xfId="1" applyFont="1" applyFill="1" applyBorder="1" applyAlignment="1" applyProtection="1">
      <alignment horizontal="center" vertical="center" wrapText="1"/>
    </xf>
    <xf numFmtId="1" fontId="10" fillId="0" borderId="9" xfId="1" applyNumberFormat="1" applyFont="1" applyBorder="1" applyAlignment="1" applyProtection="1">
      <alignment horizontal="right" vertical="center"/>
    </xf>
    <xf numFmtId="0" fontId="6" fillId="3" borderId="8" xfId="1" applyFont="1" applyFill="1" applyBorder="1" applyAlignment="1" applyProtection="1">
      <alignment horizontal="center" vertical="center" wrapText="1"/>
    </xf>
    <xf numFmtId="0" fontId="11" fillId="0" borderId="13" xfId="1" applyFont="1" applyBorder="1" applyAlignment="1" applyProtection="1">
      <alignment horizontal="center" vertical="center" wrapText="1"/>
    </xf>
    <xf numFmtId="165" fontId="2" fillId="0" borderId="8" xfId="1" applyNumberFormat="1" applyFont="1" applyBorder="1" applyAlignment="1" applyProtection="1">
      <alignment horizontal="center" vertical="center"/>
    </xf>
    <xf numFmtId="3" fontId="3" fillId="0" borderId="8" xfId="1" applyNumberFormat="1" applyFont="1" applyBorder="1" applyAlignment="1" applyProtection="1">
      <alignment horizontal="right"/>
    </xf>
    <xf numFmtId="165" fontId="3" fillId="0" borderId="8" xfId="1" applyNumberFormat="1" applyFont="1" applyBorder="1" applyProtection="1"/>
    <xf numFmtId="0" fontId="11" fillId="3" borderId="13" xfId="1" applyFont="1" applyFill="1" applyBorder="1" applyAlignment="1" applyProtection="1">
      <alignment horizontal="center" vertical="center" wrapText="1"/>
    </xf>
    <xf numFmtId="0" fontId="6" fillId="4" borderId="8" xfId="1" applyFont="1" applyFill="1" applyBorder="1" applyAlignment="1" applyProtection="1">
      <alignment horizontal="center" vertical="center"/>
    </xf>
    <xf numFmtId="0" fontId="8" fillId="5" borderId="9" xfId="1" applyFont="1" applyFill="1" applyBorder="1" applyAlignment="1" applyProtection="1">
      <alignment horizontal="center" vertical="center"/>
    </xf>
    <xf numFmtId="1" fontId="8" fillId="5" borderId="9" xfId="1" applyNumberFormat="1" applyFont="1" applyFill="1" applyBorder="1" applyAlignment="1" applyProtection="1">
      <alignment horizontal="center" vertical="center"/>
    </xf>
    <xf numFmtId="1" fontId="4" fillId="6" borderId="8" xfId="1" applyNumberFormat="1" applyFont="1" applyFill="1" applyBorder="1" applyAlignment="1" applyProtection="1">
      <alignment horizontal="center" vertical="center"/>
    </xf>
    <xf numFmtId="3" fontId="4" fillId="4" borderId="8" xfId="1" applyNumberFormat="1" applyFont="1" applyFill="1" applyBorder="1" applyAlignment="1" applyProtection="1">
      <alignment horizontal="center" vertical="center"/>
    </xf>
    <xf numFmtId="0" fontId="10" fillId="6" borderId="9" xfId="1" applyFont="1" applyFill="1" applyBorder="1" applyAlignment="1" applyProtection="1">
      <alignment horizontal="center" vertical="center"/>
    </xf>
    <xf numFmtId="0" fontId="11" fillId="7" borderId="13" xfId="1" applyFont="1" applyFill="1" applyBorder="1" applyAlignment="1" applyProtection="1">
      <alignment horizontal="center" vertical="center" wrapText="1"/>
    </xf>
    <xf numFmtId="0" fontId="6" fillId="7" borderId="8" xfId="1" applyFont="1" applyFill="1" applyBorder="1" applyAlignment="1" applyProtection="1">
      <alignment horizontal="center" vertical="center"/>
    </xf>
    <xf numFmtId="0" fontId="8" fillId="8" borderId="9" xfId="1" applyFont="1" applyFill="1" applyBorder="1" applyAlignment="1" applyProtection="1">
      <alignment horizontal="center" vertical="center"/>
    </xf>
    <xf numFmtId="1" fontId="9" fillId="7" borderId="10" xfId="1" applyNumberFormat="1" applyFont="1" applyFill="1" applyBorder="1" applyAlignment="1" applyProtection="1">
      <alignment horizontal="center" vertical="center"/>
    </xf>
    <xf numFmtId="1" fontId="8" fillId="8" borderId="9" xfId="1" applyNumberFormat="1" applyFont="1" applyFill="1" applyBorder="1" applyAlignment="1" applyProtection="1">
      <alignment horizontal="center" vertical="center"/>
    </xf>
    <xf numFmtId="1" fontId="8" fillId="7" borderId="9" xfId="1" applyNumberFormat="1" applyFont="1" applyFill="1" applyBorder="1" applyAlignment="1" applyProtection="1">
      <alignment horizontal="center" vertical="center"/>
    </xf>
    <xf numFmtId="165" fontId="2" fillId="7" borderId="8" xfId="1" applyNumberFormat="1" applyFont="1" applyFill="1" applyBorder="1" applyAlignment="1" applyProtection="1">
      <alignment horizontal="center" vertical="center"/>
    </xf>
    <xf numFmtId="1" fontId="4" fillId="7" borderId="8" xfId="1" applyNumberFormat="1" applyFont="1" applyFill="1" applyBorder="1" applyAlignment="1" applyProtection="1">
      <alignment horizontal="center" vertical="center"/>
    </xf>
    <xf numFmtId="3" fontId="4" fillId="7" borderId="8" xfId="1" applyNumberFormat="1" applyFont="1" applyFill="1" applyBorder="1" applyAlignment="1" applyProtection="1">
      <alignment horizontal="center" vertical="center"/>
    </xf>
    <xf numFmtId="0" fontId="10" fillId="7" borderId="9" xfId="1" applyFont="1" applyFill="1" applyBorder="1" applyAlignment="1" applyProtection="1">
      <alignment horizontal="center" vertical="center"/>
    </xf>
    <xf numFmtId="3" fontId="3" fillId="7" borderId="8" xfId="1" applyNumberFormat="1" applyFont="1" applyFill="1" applyBorder="1" applyAlignment="1" applyProtection="1">
      <alignment horizontal="right"/>
    </xf>
    <xf numFmtId="165" fontId="3" fillId="7" borderId="8" xfId="1" applyNumberFormat="1" applyFont="1" applyFill="1" applyBorder="1" applyProtection="1"/>
    <xf numFmtId="165" fontId="3" fillId="7" borderId="5" xfId="1" applyNumberFormat="1" applyFont="1" applyFill="1" applyBorder="1" applyProtection="1"/>
    <xf numFmtId="164" fontId="3" fillId="7" borderId="5" xfId="1" applyNumberFormat="1" applyFont="1" applyFill="1" applyBorder="1" applyProtection="1"/>
    <xf numFmtId="3" fontId="3" fillId="7" borderId="8" xfId="1" applyNumberFormat="1" applyFont="1" applyFill="1" applyBorder="1" applyProtection="1"/>
    <xf numFmtId="0" fontId="11" fillId="0" borderId="8" xfId="1" applyFont="1" applyBorder="1" applyAlignment="1" applyProtection="1">
      <alignment horizontal="center" vertical="center" wrapText="1"/>
    </xf>
    <xf numFmtId="3" fontId="3" fillId="0" borderId="8" xfId="1" applyNumberFormat="1" applyFont="1" applyBorder="1" applyProtection="1"/>
    <xf numFmtId="0" fontId="12" fillId="9" borderId="14" xfId="1" applyFont="1" applyFill="1" applyBorder="1" applyAlignment="1" applyProtection="1">
      <alignment horizontal="center" vertical="center" wrapText="1"/>
    </xf>
    <xf numFmtId="0" fontId="7" fillId="9" borderId="9" xfId="1" applyFont="1" applyFill="1" applyBorder="1" applyAlignment="1" applyProtection="1">
      <alignment horizontal="center" vertical="center"/>
    </xf>
    <xf numFmtId="0" fontId="8" fillId="9" borderId="9" xfId="1" applyFont="1" applyFill="1" applyBorder="1" applyAlignment="1" applyProtection="1">
      <alignment horizontal="center" vertical="center"/>
    </xf>
    <xf numFmtId="1" fontId="9" fillId="9" borderId="10" xfId="1" applyNumberFormat="1" applyFont="1" applyFill="1" applyBorder="1" applyAlignment="1" applyProtection="1">
      <alignment horizontal="center" vertical="center"/>
    </xf>
    <xf numFmtId="1" fontId="8" fillId="9" borderId="9" xfId="1" applyNumberFormat="1" applyFont="1" applyFill="1" applyBorder="1" applyAlignment="1" applyProtection="1">
      <alignment horizontal="center" vertical="center"/>
    </xf>
    <xf numFmtId="1" fontId="6" fillId="9" borderId="15" xfId="1" applyNumberFormat="1" applyFont="1" applyFill="1" applyBorder="1" applyAlignment="1" applyProtection="1">
      <alignment horizontal="center" vertical="center"/>
    </xf>
    <xf numFmtId="165" fontId="2" fillId="9" borderId="8" xfId="1" applyNumberFormat="1" applyFont="1" applyFill="1" applyBorder="1" applyAlignment="1" applyProtection="1">
      <alignment horizontal="center" vertical="center"/>
    </xf>
    <xf numFmtId="1" fontId="4" fillId="9" borderId="8" xfId="1" applyNumberFormat="1" applyFont="1" applyFill="1" applyBorder="1" applyAlignment="1" applyProtection="1">
      <alignment horizontal="center" vertical="center"/>
    </xf>
    <xf numFmtId="3" fontId="4" fillId="9" borderId="8" xfId="1" applyNumberFormat="1" applyFont="1" applyFill="1" applyBorder="1" applyAlignment="1" applyProtection="1">
      <alignment horizontal="center" vertical="center"/>
    </xf>
    <xf numFmtId="3" fontId="3" fillId="9" borderId="8" xfId="1" applyNumberFormat="1" applyFont="1" applyFill="1" applyBorder="1" applyProtection="1"/>
    <xf numFmtId="165" fontId="3" fillId="9" borderId="8" xfId="1" applyNumberFormat="1" applyFont="1" applyFill="1" applyBorder="1" applyProtection="1"/>
    <xf numFmtId="164" fontId="3" fillId="9" borderId="5" xfId="1" applyNumberFormat="1" applyFont="1" applyFill="1" applyBorder="1" applyProtection="1"/>
    <xf numFmtId="49" fontId="13" fillId="11" borderId="13" xfId="2" applyNumberFormat="1" applyFont="1" applyFill="1" applyBorder="1" applyAlignment="1" applyProtection="1">
      <alignment horizontal="center" vertical="center"/>
    </xf>
    <xf numFmtId="49" fontId="13" fillId="11" borderId="16" xfId="2" applyNumberFormat="1" applyFont="1" applyFill="1" applyBorder="1" applyAlignment="1" applyProtection="1">
      <alignment horizontal="center" vertical="center"/>
    </xf>
    <xf numFmtId="49" fontId="13" fillId="11" borderId="11" xfId="2" applyNumberFormat="1" applyFont="1" applyFill="1" applyBorder="1" applyAlignment="1" applyProtection="1">
      <alignment horizontal="center" vertical="center"/>
    </xf>
    <xf numFmtId="3" fontId="14" fillId="11" borderId="8" xfId="1" applyNumberFormat="1" applyFont="1" applyFill="1" applyBorder="1" applyProtection="1"/>
    <xf numFmtId="164" fontId="14" fillId="11" borderId="8" xfId="1" applyNumberFormat="1" applyFont="1" applyFill="1" applyBorder="1" applyProtection="1"/>
    <xf numFmtId="166" fontId="14" fillId="11" borderId="8" xfId="1" applyNumberFormat="1" applyFont="1" applyFill="1" applyBorder="1" applyProtection="1"/>
    <xf numFmtId="3" fontId="14" fillId="12" borderId="8" xfId="1" applyNumberFormat="1" applyFont="1" applyFill="1" applyBorder="1" applyProtection="1"/>
    <xf numFmtId="164" fontId="3" fillId="0" borderId="0" xfId="1" applyNumberFormat="1" applyFont="1" applyProtection="1"/>
    <xf numFmtId="164" fontId="3" fillId="0" borderId="0" xfId="1" applyNumberFormat="1" applyFont="1" applyAlignment="1" applyProtection="1">
      <alignment horizontal="center"/>
    </xf>
    <xf numFmtId="167" fontId="14" fillId="0" borderId="0" xfId="3" applyNumberFormat="1" applyFont="1" applyProtection="1"/>
    <xf numFmtId="0" fontId="14" fillId="0" borderId="0" xfId="1" applyFont="1" applyProtection="1"/>
    <xf numFmtId="0" fontId="4" fillId="13" borderId="0" xfId="1" applyFont="1" applyFill="1" applyAlignment="1" applyProtection="1">
      <alignment horizontal="left" vertical="center"/>
    </xf>
    <xf numFmtId="0" fontId="15" fillId="14" borderId="17" xfId="1" applyFont="1" applyFill="1" applyBorder="1" applyProtection="1"/>
    <xf numFmtId="0" fontId="16" fillId="14" borderId="17" xfId="1" applyFont="1" applyFill="1" applyBorder="1" applyProtection="1"/>
    <xf numFmtId="0" fontId="17" fillId="14" borderId="17" xfId="1" applyFont="1" applyFill="1" applyBorder="1" applyProtection="1"/>
    <xf numFmtId="0" fontId="17" fillId="14" borderId="18" xfId="1" applyFont="1" applyFill="1" applyBorder="1" applyAlignment="1" applyProtection="1">
      <alignment horizontal="left"/>
    </xf>
    <xf numFmtId="0" fontId="17" fillId="14" borderId="19" xfId="1" applyFont="1" applyFill="1" applyBorder="1" applyAlignment="1" applyProtection="1">
      <alignment horizontal="left"/>
    </xf>
    <xf numFmtId="0" fontId="15" fillId="0" borderId="17" xfId="1" applyFont="1" applyBorder="1" applyAlignment="1" applyProtection="1">
      <alignment horizontal="left" vertical="center"/>
    </xf>
    <xf numFmtId="3" fontId="15" fillId="0" borderId="17" xfId="1" applyNumberFormat="1" applyFont="1" applyBorder="1" applyProtection="1"/>
    <xf numFmtId="1" fontId="18" fillId="0" borderId="17" xfId="1" applyNumberFormat="1" applyFont="1" applyBorder="1" applyProtection="1"/>
    <xf numFmtId="3" fontId="18" fillId="0" borderId="18" xfId="1" applyNumberFormat="1" applyFont="1" applyBorder="1" applyAlignment="1" applyProtection="1">
      <alignment horizontal="center"/>
    </xf>
    <xf numFmtId="3" fontId="18" fillId="0" borderId="19" xfId="1" applyNumberFormat="1" applyFont="1" applyBorder="1" applyAlignment="1" applyProtection="1">
      <alignment horizontal="center"/>
    </xf>
    <xf numFmtId="0" fontId="15" fillId="4" borderId="17" xfId="1" applyFont="1" applyFill="1" applyBorder="1" applyAlignment="1" applyProtection="1">
      <alignment horizontal="left" vertical="center"/>
    </xf>
    <xf numFmtId="3" fontId="15" fillId="4" borderId="17" xfId="1" applyNumberFormat="1" applyFont="1" applyFill="1" applyBorder="1" applyProtection="1"/>
    <xf numFmtId="1" fontId="18" fillId="4" borderId="17" xfId="1" applyNumberFormat="1" applyFont="1" applyFill="1" applyBorder="1" applyProtection="1"/>
    <xf numFmtId="3" fontId="18" fillId="4" borderId="18" xfId="1" applyNumberFormat="1" applyFont="1" applyFill="1" applyBorder="1" applyAlignment="1" applyProtection="1">
      <alignment horizontal="center"/>
    </xf>
    <xf numFmtId="3" fontId="18" fillId="4" borderId="19" xfId="1" applyNumberFormat="1" applyFont="1" applyFill="1" applyBorder="1" applyAlignment="1" applyProtection="1">
      <alignment horizontal="center"/>
    </xf>
    <xf numFmtId="0" fontId="10" fillId="15" borderId="8" xfId="1" applyFont="1" applyFill="1" applyBorder="1" applyAlignment="1" applyProtection="1">
      <alignment horizontal="left" vertical="center"/>
    </xf>
    <xf numFmtId="0" fontId="3" fillId="3" borderId="0" xfId="1" applyFont="1" applyFill="1" applyProtection="1"/>
    <xf numFmtId="164" fontId="3" fillId="3" borderId="0" xfId="1" applyNumberFormat="1" applyFont="1" applyFill="1" applyProtection="1"/>
    <xf numFmtId="164" fontId="3" fillId="3" borderId="0" xfId="1" applyNumberFormat="1" applyFont="1" applyFill="1" applyAlignment="1" applyProtection="1">
      <alignment horizontal="center"/>
    </xf>
    <xf numFmtId="3" fontId="3" fillId="3" borderId="0" xfId="1" applyNumberFormat="1" applyFont="1" applyFill="1" applyProtection="1"/>
    <xf numFmtId="0" fontId="15" fillId="2" borderId="20" xfId="1" applyFont="1" applyFill="1" applyBorder="1" applyAlignment="1" applyProtection="1">
      <alignment horizontal="left" vertical="center"/>
    </xf>
    <xf numFmtId="3" fontId="15" fillId="2" borderId="17" xfId="1" applyNumberFormat="1" applyFont="1" applyFill="1" applyBorder="1" applyProtection="1"/>
    <xf numFmtId="1" fontId="18" fillId="2" borderId="17" xfId="1" applyNumberFormat="1" applyFont="1" applyFill="1" applyBorder="1" applyProtection="1"/>
    <xf numFmtId="3" fontId="18" fillId="2" borderId="18" xfId="1" applyNumberFormat="1" applyFont="1" applyFill="1" applyBorder="1" applyAlignment="1" applyProtection="1">
      <alignment horizontal="center"/>
    </xf>
    <xf numFmtId="3" fontId="18" fillId="2" borderId="19" xfId="1" applyNumberFormat="1" applyFont="1" applyFill="1" applyBorder="1" applyAlignment="1" applyProtection="1">
      <alignment horizontal="center"/>
    </xf>
    <xf numFmtId="3" fontId="15" fillId="3" borderId="17" xfId="1" applyNumberFormat="1" applyFont="1" applyFill="1" applyBorder="1" applyProtection="1"/>
    <xf numFmtId="0" fontId="18" fillId="3" borderId="17" xfId="1" applyFont="1" applyFill="1" applyBorder="1" applyProtection="1"/>
    <xf numFmtId="3" fontId="18" fillId="3" borderId="18" xfId="1" applyNumberFormat="1" applyFont="1" applyFill="1" applyBorder="1" applyAlignment="1" applyProtection="1">
      <alignment horizontal="center"/>
    </xf>
    <xf numFmtId="3" fontId="18" fillId="3" borderId="19" xfId="1" applyNumberFormat="1" applyFont="1" applyFill="1" applyBorder="1" applyAlignment="1" applyProtection="1">
      <alignment horizontal="center"/>
    </xf>
    <xf numFmtId="0" fontId="14" fillId="0" borderId="0" xfId="1" applyFont="1" applyAlignment="1" applyProtection="1">
      <alignment horizontal="center"/>
    </xf>
    <xf numFmtId="3" fontId="14" fillId="0" borderId="0" xfId="1" applyNumberFormat="1" applyFont="1" applyAlignment="1" applyProtection="1">
      <alignment horizontal="center"/>
    </xf>
    <xf numFmtId="0" fontId="3" fillId="0" borderId="0" xfId="1" applyFont="1" applyAlignment="1" applyProtection="1">
      <alignment horizontal="left"/>
    </xf>
    <xf numFmtId="49" fontId="19" fillId="4" borderId="21" xfId="2" applyNumberFormat="1" applyFont="1" applyFill="1" applyBorder="1" applyAlignment="1" applyProtection="1">
      <alignment horizontal="center" vertical="center"/>
    </xf>
    <xf numFmtId="49" fontId="19" fillId="4" borderId="22" xfId="2" applyNumberFormat="1" applyFont="1" applyFill="1" applyBorder="1" applyAlignment="1" applyProtection="1">
      <alignment horizontal="center" vertical="center"/>
    </xf>
    <xf numFmtId="49" fontId="19" fillId="4" borderId="23" xfId="2" applyNumberFormat="1" applyFont="1" applyFill="1" applyBorder="1" applyAlignment="1" applyProtection="1">
      <alignment horizontal="center" vertical="center"/>
    </xf>
    <xf numFmtId="49" fontId="19" fillId="2" borderId="21" xfId="2" applyNumberFormat="1" applyFont="1" applyFill="1" applyBorder="1" applyAlignment="1" applyProtection="1">
      <alignment horizontal="center" vertical="center"/>
    </xf>
    <xf numFmtId="49" fontId="19" fillId="2" borderId="22" xfId="2" applyNumberFormat="1" applyFont="1" applyFill="1" applyBorder="1" applyAlignment="1" applyProtection="1">
      <alignment horizontal="center" vertical="center"/>
    </xf>
    <xf numFmtId="49" fontId="19" fillId="2" borderId="23" xfId="2" applyNumberFormat="1" applyFont="1" applyFill="1" applyBorder="1" applyAlignment="1" applyProtection="1">
      <alignment horizontal="center" vertical="center"/>
    </xf>
    <xf numFmtId="0" fontId="19" fillId="0" borderId="15" xfId="1" applyFont="1" applyBorder="1" applyAlignment="1" applyProtection="1">
      <alignment horizontal="center" vertical="center"/>
    </xf>
    <xf numFmtId="3" fontId="19" fillId="0" borderId="15" xfId="1" applyNumberFormat="1" applyFont="1" applyBorder="1" applyAlignment="1" applyProtection="1">
      <alignment horizontal="center" vertical="center" wrapText="1"/>
    </xf>
    <xf numFmtId="0" fontId="20" fillId="3" borderId="15" xfId="1" applyFont="1" applyFill="1" applyBorder="1" applyAlignment="1" applyProtection="1">
      <alignment horizontal="center" vertical="center" wrapText="1"/>
    </xf>
    <xf numFmtId="1" fontId="21" fillId="3" borderId="15" xfId="1" applyNumberFormat="1" applyFont="1" applyFill="1" applyBorder="1" applyAlignment="1" applyProtection="1">
      <alignment horizontal="center"/>
    </xf>
    <xf numFmtId="3" fontId="21" fillId="3" borderId="15" xfId="3" applyNumberFormat="1" applyFont="1" applyFill="1" applyBorder="1" applyAlignment="1" applyProtection="1">
      <alignment horizontal="center"/>
    </xf>
    <xf numFmtId="0" fontId="21" fillId="3" borderId="15" xfId="3" applyNumberFormat="1" applyFont="1" applyFill="1" applyBorder="1" applyAlignment="1" applyProtection="1">
      <alignment horizontal="center"/>
    </xf>
    <xf numFmtId="0" fontId="12" fillId="3" borderId="15" xfId="1" applyFont="1" applyFill="1" applyBorder="1" applyAlignment="1" applyProtection="1">
      <alignment horizontal="center" vertical="center" wrapText="1"/>
    </xf>
    <xf numFmtId="3" fontId="21" fillId="3" borderId="15" xfId="1" applyNumberFormat="1" applyFont="1" applyFill="1" applyBorder="1" applyAlignment="1" applyProtection="1">
      <alignment horizontal="center"/>
    </xf>
    <xf numFmtId="0" fontId="22" fillId="16" borderId="24" xfId="1" applyFont="1" applyFill="1" applyBorder="1" applyAlignment="1" applyProtection="1">
      <alignment horizontal="center" vertical="center"/>
    </xf>
    <xf numFmtId="3" fontId="23" fillId="16" borderId="25" xfId="1" applyNumberFormat="1" applyFont="1" applyFill="1" applyBorder="1" applyAlignment="1" applyProtection="1">
      <alignment horizontal="center"/>
    </xf>
    <xf numFmtId="0" fontId="22" fillId="16" borderId="26" xfId="1" applyFont="1" applyFill="1" applyBorder="1" applyAlignment="1" applyProtection="1">
      <alignment horizontal="center" vertical="center"/>
    </xf>
    <xf numFmtId="3" fontId="21" fillId="16" borderId="27" xfId="1" applyNumberFormat="1" applyFont="1" applyFill="1" applyBorder="1" applyAlignment="1" applyProtection="1">
      <alignment horizontal="center"/>
    </xf>
    <xf numFmtId="0" fontId="23" fillId="17" borderId="15" xfId="1" applyFont="1" applyFill="1" applyBorder="1" applyAlignment="1" applyProtection="1">
      <alignment horizontal="center" vertical="center"/>
    </xf>
    <xf numFmtId="3" fontId="23" fillId="17" borderId="15" xfId="1" applyNumberFormat="1" applyFont="1" applyFill="1" applyBorder="1" applyAlignment="1" applyProtection="1">
      <alignment horizontal="center" vertical="center"/>
    </xf>
    <xf numFmtId="3" fontId="1" fillId="0" borderId="0" xfId="1" applyNumberFormat="1" applyProtection="1"/>
    <xf numFmtId="49" fontId="19" fillId="0" borderId="0" xfId="2" applyNumberFormat="1" applyFont="1" applyFill="1" applyAlignment="1" applyProtection="1">
      <alignment horizontal="center" vertical="center"/>
    </xf>
    <xf numFmtId="49" fontId="24" fillId="18" borderId="28" xfId="2" applyNumberFormat="1" applyFont="1" applyFill="1" applyBorder="1" applyAlignment="1" applyProtection="1">
      <alignment horizontal="center" vertical="center"/>
    </xf>
    <xf numFmtId="49" fontId="24" fillId="18" borderId="29" xfId="2" applyNumberFormat="1" applyFont="1" applyFill="1" applyBorder="1" applyAlignment="1" applyProtection="1">
      <alignment horizontal="center" vertical="center"/>
    </xf>
    <xf numFmtId="49" fontId="19" fillId="18" borderId="29" xfId="2" applyNumberFormat="1" applyFont="1" applyFill="1" applyBorder="1" applyAlignment="1" applyProtection="1">
      <alignment horizontal="center" vertical="center"/>
    </xf>
    <xf numFmtId="49" fontId="19" fillId="18" borderId="30" xfId="2" applyNumberFormat="1" applyFont="1" applyFill="1" applyBorder="1" applyAlignment="1" applyProtection="1">
      <alignment horizontal="center" vertical="center"/>
    </xf>
    <xf numFmtId="0" fontId="19" fillId="0" borderId="0" xfId="1" applyFont="1" applyAlignment="1" applyProtection="1">
      <alignment horizontal="center" vertical="center"/>
    </xf>
    <xf numFmtId="3" fontId="19" fillId="0" borderId="0" xfId="1" applyNumberFormat="1" applyFont="1" applyAlignment="1" applyProtection="1">
      <alignment horizontal="center" vertical="center" wrapText="1"/>
    </xf>
    <xf numFmtId="0" fontId="19" fillId="0" borderId="27" xfId="1" applyFont="1" applyBorder="1" applyAlignment="1" applyProtection="1">
      <alignment horizontal="center" vertical="center"/>
    </xf>
    <xf numFmtId="3" fontId="19" fillId="0" borderId="27" xfId="1" applyNumberFormat="1" applyFont="1" applyBorder="1" applyAlignment="1" applyProtection="1">
      <alignment horizontal="center" vertical="center" wrapText="1"/>
    </xf>
    <xf numFmtId="0" fontId="12" fillId="0" borderId="0" xfId="1" applyFont="1" applyAlignment="1" applyProtection="1">
      <alignment horizontal="center" vertical="center" wrapText="1"/>
    </xf>
    <xf numFmtId="1" fontId="21" fillId="0" borderId="0" xfId="1" applyNumberFormat="1" applyFont="1" applyAlignment="1" applyProtection="1">
      <alignment horizontal="center"/>
    </xf>
    <xf numFmtId="3" fontId="21" fillId="0" borderId="0" xfId="3" applyNumberFormat="1" applyFont="1" applyAlignment="1" applyProtection="1">
      <alignment horizontal="center"/>
    </xf>
    <xf numFmtId="0" fontId="25" fillId="3" borderId="5" xfId="1" applyFont="1" applyFill="1" applyBorder="1" applyAlignment="1" applyProtection="1">
      <alignment horizontal="center" vertical="center" wrapText="1"/>
    </xf>
    <xf numFmtId="0" fontId="21" fillId="3" borderId="15" xfId="1" applyFont="1" applyFill="1" applyBorder="1" applyAlignment="1" applyProtection="1">
      <alignment horizontal="center"/>
    </xf>
    <xf numFmtId="0" fontId="22" fillId="0" borderId="0" xfId="1" applyFont="1" applyAlignment="1" applyProtection="1">
      <alignment horizontal="center" vertical="center"/>
    </xf>
    <xf numFmtId="3" fontId="23" fillId="0" borderId="0" xfId="1" applyNumberFormat="1" applyFont="1" applyAlignment="1" applyProtection="1">
      <alignment horizontal="center"/>
    </xf>
    <xf numFmtId="0" fontId="25" fillId="3" borderId="8" xfId="1" applyFont="1" applyFill="1" applyBorder="1" applyAlignment="1" applyProtection="1">
      <alignment horizontal="center" vertical="center" wrapText="1"/>
    </xf>
    <xf numFmtId="0" fontId="25" fillId="0" borderId="8" xfId="1" applyFont="1" applyBorder="1" applyAlignment="1" applyProtection="1">
      <alignment horizontal="center" vertical="center" wrapText="1"/>
    </xf>
    <xf numFmtId="0" fontId="25" fillId="0" borderId="13" xfId="1" applyFont="1" applyBorder="1" applyAlignment="1" applyProtection="1">
      <alignment horizontal="center" vertical="center" wrapText="1"/>
    </xf>
    <xf numFmtId="0" fontId="20" fillId="0" borderId="14" xfId="1" applyFont="1" applyBorder="1" applyAlignment="1" applyProtection="1">
      <alignment horizontal="center" vertical="center" wrapText="1"/>
    </xf>
    <xf numFmtId="0" fontId="12" fillId="0" borderId="14" xfId="1" applyFont="1" applyBorder="1" applyAlignment="1" applyProtection="1">
      <alignment horizontal="center" vertical="center" wrapText="1"/>
    </xf>
    <xf numFmtId="0" fontId="22" fillId="16" borderId="15" xfId="1" applyFont="1" applyFill="1" applyBorder="1" applyAlignment="1" applyProtection="1">
      <alignment horizontal="center" vertical="center"/>
    </xf>
    <xf numFmtId="3" fontId="23" fillId="16" borderId="15" xfId="1" applyNumberFormat="1" applyFont="1" applyFill="1" applyBorder="1" applyAlignment="1" applyProtection="1">
      <alignment horizontal="center"/>
    </xf>
  </cellXfs>
  <cellStyles count="4">
    <cellStyle name="40% - Accent6 6 2 2 2 2 2 2 2 2 2 2 2 2 2 2 2 2 2 2 2 2 2" xfId="2" xr:uid="{307BF83D-29B5-4D65-A229-2D5DB99AFD13}"/>
    <cellStyle name="Comma [0] 2 3 2 2" xfId="3" xr:uid="{ED933864-C607-4384-9C27-7684339EECA5}"/>
    <cellStyle name="Normal" xfId="0" builtinId="0"/>
    <cellStyle name="Normal 2 2 2 2 2 2 2 2" xfId="1" xr:uid="{2A604C85-7595-4FB7-9B27-CB87A65ACE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4DCB-428D-41EC-BC60-2CB69759BC6C}">
  <sheetPr>
    <pageSetUpPr fitToPage="1"/>
  </sheetPr>
  <dimension ref="A1:AA81"/>
  <sheetViews>
    <sheetView tabSelected="1" topLeftCell="A18" zoomScale="60" zoomScaleNormal="60" workbookViewId="0">
      <selection activeCell="S58" sqref="S58:U64"/>
    </sheetView>
  </sheetViews>
  <sheetFormatPr defaultColWidth="9.109375" defaultRowHeight="14.4" x14ac:dyDescent="0.3"/>
  <cols>
    <col min="1" max="1" width="32.33203125" style="2" customWidth="1"/>
    <col min="2" max="2" width="38.44140625" style="2" customWidth="1"/>
    <col min="3" max="3" width="11.33203125" style="2" bestFit="1" customWidth="1"/>
    <col min="4" max="4" width="15.6640625" style="2" customWidth="1"/>
    <col min="5" max="5" width="12.109375" style="2" customWidth="1"/>
    <col min="6" max="6" width="15.44140625" style="2" customWidth="1"/>
    <col min="7" max="7" width="13.6640625" style="2" customWidth="1"/>
    <col min="8" max="8" width="12.109375" style="2" customWidth="1"/>
    <col min="9" max="9" width="8.5546875" style="2" customWidth="1"/>
    <col min="10" max="10" width="14.109375" style="2" customWidth="1"/>
    <col min="11" max="11" width="14.33203125" style="2" customWidth="1"/>
    <col min="12" max="12" width="11.6640625" style="2" customWidth="1"/>
    <col min="13" max="13" width="14.33203125" style="2" customWidth="1"/>
    <col min="14" max="14" width="14" style="2" customWidth="1"/>
    <col min="15" max="17" width="9.109375" style="2"/>
    <col min="18" max="19" width="23.6640625" style="2" customWidth="1"/>
    <col min="20" max="20" width="19.6640625" style="2" customWidth="1"/>
    <col min="21" max="21" width="21.109375" style="2" customWidth="1"/>
    <col min="22" max="23" width="9.109375" style="2"/>
    <col min="24" max="24" width="23.33203125" style="2" customWidth="1"/>
    <col min="25" max="25" width="23.6640625" style="2" customWidth="1"/>
    <col min="26" max="26" width="15.6640625" style="2" customWidth="1"/>
    <col min="27" max="27" width="25" style="2" customWidth="1"/>
    <col min="28" max="16384" width="9.109375" style="2"/>
  </cols>
  <sheetData>
    <row r="1" spans="1:19" ht="25.9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9" ht="25.8" x14ac:dyDescent="0.3">
      <c r="A2" s="3"/>
      <c r="B2" s="3"/>
      <c r="C2" s="3"/>
      <c r="D2" s="3"/>
      <c r="E2" s="3"/>
      <c r="F2" s="4"/>
      <c r="G2" s="4"/>
      <c r="H2" s="4"/>
      <c r="I2" s="4"/>
      <c r="J2" s="3"/>
      <c r="K2" s="5"/>
      <c r="L2" s="3"/>
      <c r="M2" s="3"/>
      <c r="N2" s="6"/>
    </row>
    <row r="3" spans="1:19" ht="16.2" thickBot="1" x14ac:dyDescent="0.35">
      <c r="A3" s="7"/>
      <c r="B3" s="8" t="s">
        <v>1</v>
      </c>
      <c r="C3" s="9"/>
      <c r="D3" s="6"/>
      <c r="E3" s="6"/>
      <c r="F3" s="6"/>
      <c r="G3" s="6"/>
      <c r="H3" s="6"/>
      <c r="I3" s="10"/>
      <c r="J3" s="6"/>
      <c r="K3" s="11"/>
      <c r="L3" s="6"/>
      <c r="M3" s="6"/>
      <c r="N3" s="6"/>
    </row>
    <row r="4" spans="1:19" ht="15" customHeight="1" thickBot="1" x14ac:dyDescent="0.3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4" t="s">
        <v>8</v>
      </c>
      <c r="H4" s="15" t="s">
        <v>9</v>
      </c>
      <c r="I4" s="16"/>
      <c r="J4" s="17"/>
      <c r="K4" s="18" t="s">
        <v>10</v>
      </c>
      <c r="L4" s="13" t="s">
        <v>11</v>
      </c>
      <c r="M4" s="13" t="s">
        <v>12</v>
      </c>
      <c r="N4" s="12" t="s">
        <v>13</v>
      </c>
    </row>
    <row r="5" spans="1:19" ht="28.2" thickBot="1" x14ac:dyDescent="0.35">
      <c r="A5" s="19"/>
      <c r="B5" s="20"/>
      <c r="C5" s="21"/>
      <c r="D5" s="22"/>
      <c r="E5" s="21"/>
      <c r="F5" s="23"/>
      <c r="G5" s="24"/>
      <c r="H5" s="25" t="s">
        <v>14</v>
      </c>
      <c r="I5" s="25" t="s">
        <v>15</v>
      </c>
      <c r="J5" s="26" t="s">
        <v>16</v>
      </c>
      <c r="K5" s="27"/>
      <c r="L5" s="20"/>
      <c r="M5" s="20"/>
      <c r="N5" s="19"/>
    </row>
    <row r="6" spans="1:19" ht="26.4" thickBot="1" x14ac:dyDescent="0.35">
      <c r="A6" s="28" t="s">
        <v>17</v>
      </c>
      <c r="B6" s="29" t="s">
        <v>18</v>
      </c>
      <c r="C6" s="30">
        <v>31</v>
      </c>
      <c r="D6" s="31">
        <v>4065</v>
      </c>
      <c r="E6" s="32">
        <v>123</v>
      </c>
      <c r="F6" s="32">
        <f t="shared" ref="F6:F7" si="0">+D6*E6/1000</f>
        <v>499.995</v>
      </c>
      <c r="G6" s="33"/>
      <c r="H6" s="34">
        <f>+F6-G6</f>
        <v>499.995</v>
      </c>
      <c r="I6" s="35">
        <v>10</v>
      </c>
      <c r="J6" s="36">
        <v>0</v>
      </c>
      <c r="K6" s="37">
        <f t="shared" ref="K6:K28" si="1">+F6-G6</f>
        <v>499.995</v>
      </c>
      <c r="L6" s="38">
        <f t="shared" ref="L6:L27" si="2">+H6/D6*1000</f>
        <v>123</v>
      </c>
      <c r="M6" s="38"/>
      <c r="N6" s="39" t="e">
        <f>+H6-#REF!</f>
        <v>#REF!</v>
      </c>
      <c r="Q6" s="2" t="s">
        <v>19</v>
      </c>
    </row>
    <row r="7" spans="1:19" ht="31.8" thickBot="1" x14ac:dyDescent="0.35">
      <c r="A7" s="28" t="s">
        <v>20</v>
      </c>
      <c r="B7" s="29" t="s">
        <v>18</v>
      </c>
      <c r="C7" s="30">
        <v>31</v>
      </c>
      <c r="D7" s="40">
        <v>4053</v>
      </c>
      <c r="E7" s="32">
        <f>+E6</f>
        <v>123</v>
      </c>
      <c r="F7" s="32">
        <f t="shared" si="0"/>
        <v>498.51900000000001</v>
      </c>
      <c r="G7" s="33"/>
      <c r="H7" s="34">
        <f t="shared" ref="H7:H13" si="3">+F7-G7</f>
        <v>498.51900000000001</v>
      </c>
      <c r="I7" s="35">
        <v>9</v>
      </c>
      <c r="J7" s="36">
        <v>49</v>
      </c>
      <c r="K7" s="41">
        <f t="shared" si="1"/>
        <v>498.51900000000001</v>
      </c>
      <c r="L7" s="38">
        <f t="shared" si="2"/>
        <v>123</v>
      </c>
      <c r="M7" s="38"/>
      <c r="N7" s="39" t="e">
        <f>+H7-#REF!</f>
        <v>#REF!</v>
      </c>
      <c r="P7" s="2" t="s">
        <v>19</v>
      </c>
    </row>
    <row r="8" spans="1:19" ht="26.4" thickBot="1" x14ac:dyDescent="0.35">
      <c r="A8" s="42" t="s">
        <v>21</v>
      </c>
      <c r="B8" s="29" t="s">
        <v>18</v>
      </c>
      <c r="C8" s="30">
        <v>31</v>
      </c>
      <c r="D8" s="31">
        <v>4075</v>
      </c>
      <c r="E8" s="32">
        <v>125</v>
      </c>
      <c r="F8" s="32">
        <f>+D8*E8/1000</f>
        <v>509.375</v>
      </c>
      <c r="G8" s="30"/>
      <c r="H8" s="34">
        <f t="shared" si="3"/>
        <v>509.375</v>
      </c>
      <c r="I8" s="35">
        <v>10</v>
      </c>
      <c r="J8" s="36">
        <v>9</v>
      </c>
      <c r="K8" s="43">
        <f t="shared" si="1"/>
        <v>509.375</v>
      </c>
      <c r="L8" s="36">
        <f t="shared" si="2"/>
        <v>125</v>
      </c>
      <c r="M8" s="36"/>
      <c r="N8" s="39" t="e">
        <f>+H8-#REF!</f>
        <v>#REF!</v>
      </c>
    </row>
    <row r="9" spans="1:19" ht="31.8" thickBot="1" x14ac:dyDescent="0.35">
      <c r="A9" s="42" t="s">
        <v>22</v>
      </c>
      <c r="B9" s="29" t="s">
        <v>18</v>
      </c>
      <c r="C9" s="30">
        <v>31</v>
      </c>
      <c r="D9" s="31">
        <v>4188</v>
      </c>
      <c r="E9" s="32">
        <f t="shared" ref="E9:E12" si="4">+E8</f>
        <v>125</v>
      </c>
      <c r="F9" s="32">
        <f t="shared" ref="F9:F22" si="5">+D9*E9/1000</f>
        <v>523.5</v>
      </c>
      <c r="G9" s="30"/>
      <c r="H9" s="34">
        <f t="shared" si="3"/>
        <v>523.5</v>
      </c>
      <c r="I9" s="35">
        <v>10</v>
      </c>
      <c r="J9" s="36">
        <v>24</v>
      </c>
      <c r="K9" s="43">
        <f t="shared" si="1"/>
        <v>523.5</v>
      </c>
      <c r="L9" s="36">
        <f t="shared" si="2"/>
        <v>125</v>
      </c>
      <c r="M9" s="36"/>
      <c r="N9" s="39" t="e">
        <f>+H9-#REF!</f>
        <v>#REF!</v>
      </c>
      <c r="R9" s="2" t="s">
        <v>19</v>
      </c>
    </row>
    <row r="10" spans="1:19" ht="31.8" thickBot="1" x14ac:dyDescent="0.35">
      <c r="A10" s="42" t="s">
        <v>23</v>
      </c>
      <c r="B10" s="29" t="s">
        <v>18</v>
      </c>
      <c r="C10" s="30">
        <v>31</v>
      </c>
      <c r="D10" s="31">
        <v>4325</v>
      </c>
      <c r="E10" s="32">
        <f t="shared" si="4"/>
        <v>125</v>
      </c>
      <c r="F10" s="32">
        <f t="shared" si="5"/>
        <v>540.625</v>
      </c>
      <c r="G10" s="30"/>
      <c r="H10" s="34">
        <f t="shared" si="3"/>
        <v>540.625</v>
      </c>
      <c r="I10" s="35">
        <v>10</v>
      </c>
      <c r="J10" s="36">
        <v>41</v>
      </c>
      <c r="K10" s="43">
        <f t="shared" si="1"/>
        <v>540.625</v>
      </c>
      <c r="L10" s="36">
        <f t="shared" si="2"/>
        <v>125</v>
      </c>
      <c r="M10" s="36"/>
      <c r="N10" s="39" t="e">
        <f>+H10-#REF!</f>
        <v>#REF!</v>
      </c>
    </row>
    <row r="11" spans="1:19" ht="31.8" thickBot="1" x14ac:dyDescent="0.35">
      <c r="A11" s="44" t="s">
        <v>24</v>
      </c>
      <c r="B11" s="29" t="s">
        <v>18</v>
      </c>
      <c r="C11" s="30">
        <v>31</v>
      </c>
      <c r="D11" s="40">
        <v>4522</v>
      </c>
      <c r="E11" s="32">
        <f t="shared" si="4"/>
        <v>125</v>
      </c>
      <c r="F11" s="32">
        <f t="shared" si="5"/>
        <v>565.25</v>
      </c>
      <c r="G11" s="30"/>
      <c r="H11" s="34">
        <f t="shared" si="3"/>
        <v>565.25</v>
      </c>
      <c r="I11" s="35">
        <v>11</v>
      </c>
      <c r="J11" s="36">
        <v>15</v>
      </c>
      <c r="K11" s="43">
        <f t="shared" si="1"/>
        <v>565.25</v>
      </c>
      <c r="L11" s="36">
        <f t="shared" si="2"/>
        <v>125</v>
      </c>
      <c r="M11" s="36"/>
      <c r="N11" s="39" t="e">
        <f>+H11-#REF!</f>
        <v>#REF!</v>
      </c>
    </row>
    <row r="12" spans="1:19" ht="26.4" thickBot="1" x14ac:dyDescent="0.35">
      <c r="A12" s="44" t="s">
        <v>25</v>
      </c>
      <c r="B12" s="29" t="s">
        <v>18</v>
      </c>
      <c r="C12" s="30">
        <v>31</v>
      </c>
      <c r="D12" s="31">
        <v>4415</v>
      </c>
      <c r="E12" s="32">
        <f t="shared" si="4"/>
        <v>125</v>
      </c>
      <c r="F12" s="32">
        <f t="shared" si="5"/>
        <v>551.875</v>
      </c>
      <c r="G12" s="30"/>
      <c r="H12" s="34">
        <f t="shared" si="3"/>
        <v>551.875</v>
      </c>
      <c r="I12" s="35">
        <v>11</v>
      </c>
      <c r="J12" s="36">
        <v>2</v>
      </c>
      <c r="K12" s="43">
        <f t="shared" si="1"/>
        <v>551.875</v>
      </c>
      <c r="L12" s="36">
        <f>+H12/D12*1000</f>
        <v>125</v>
      </c>
      <c r="M12" s="36"/>
      <c r="N12" s="39" t="e">
        <f>+H12-#REF!</f>
        <v>#REF!</v>
      </c>
      <c r="P12" s="2" t="s">
        <v>19</v>
      </c>
    </row>
    <row r="13" spans="1:19" ht="26.4" thickBot="1" x14ac:dyDescent="0.35">
      <c r="A13" s="45" t="s">
        <v>26</v>
      </c>
      <c r="B13" s="29" t="s">
        <v>18</v>
      </c>
      <c r="C13" s="30">
        <v>31</v>
      </c>
      <c r="D13" s="31">
        <v>4421</v>
      </c>
      <c r="E13" s="32">
        <f>+E6</f>
        <v>123</v>
      </c>
      <c r="F13" s="32">
        <f t="shared" si="5"/>
        <v>543.78300000000002</v>
      </c>
      <c r="G13" s="46"/>
      <c r="H13" s="34">
        <f t="shared" si="3"/>
        <v>543.78300000000002</v>
      </c>
      <c r="I13" s="35">
        <v>10</v>
      </c>
      <c r="J13" s="36">
        <v>44</v>
      </c>
      <c r="K13" s="47">
        <f t="shared" si="1"/>
        <v>543.78300000000002</v>
      </c>
      <c r="L13" s="48">
        <f t="shared" si="2"/>
        <v>123</v>
      </c>
      <c r="M13" s="38"/>
      <c r="N13" s="39" t="e">
        <f>+H13-#REF!</f>
        <v>#REF!</v>
      </c>
    </row>
    <row r="14" spans="1:19" ht="26.4" thickBot="1" x14ac:dyDescent="0.35">
      <c r="A14" s="49" t="s">
        <v>27</v>
      </c>
      <c r="B14" s="50" t="s">
        <v>28</v>
      </c>
      <c r="C14" s="51">
        <v>106</v>
      </c>
      <c r="D14" s="31">
        <v>65</v>
      </c>
      <c r="E14" s="52">
        <v>122</v>
      </c>
      <c r="F14" s="32">
        <f t="shared" si="5"/>
        <v>7.93</v>
      </c>
      <c r="G14" s="46"/>
      <c r="H14" s="53">
        <f t="shared" ref="H14:H28" si="6">+F14</f>
        <v>7.93</v>
      </c>
      <c r="I14" s="54">
        <v>0</v>
      </c>
      <c r="J14" s="55">
        <v>8</v>
      </c>
      <c r="K14" s="47">
        <f t="shared" si="1"/>
        <v>7.93</v>
      </c>
      <c r="L14" s="48">
        <f t="shared" si="2"/>
        <v>122</v>
      </c>
      <c r="M14" s="38"/>
      <c r="N14" s="39" t="e">
        <f>+H14-#REF!</f>
        <v>#REF!</v>
      </c>
    </row>
    <row r="15" spans="1:19" ht="26.4" thickBot="1" x14ac:dyDescent="0.35">
      <c r="A15" s="56" t="s">
        <v>29</v>
      </c>
      <c r="B15" s="57" t="s">
        <v>28</v>
      </c>
      <c r="C15" s="58">
        <v>106</v>
      </c>
      <c r="D15" s="59">
        <v>0</v>
      </c>
      <c r="E15" s="60">
        <v>122</v>
      </c>
      <c r="F15" s="61">
        <f t="shared" si="5"/>
        <v>0</v>
      </c>
      <c r="G15" s="62"/>
      <c r="H15" s="63">
        <f t="shared" si="6"/>
        <v>0</v>
      </c>
      <c r="I15" s="64">
        <v>0</v>
      </c>
      <c r="J15" s="65">
        <v>0</v>
      </c>
      <c r="K15" s="66">
        <f t="shared" si="1"/>
        <v>0</v>
      </c>
      <c r="L15" s="67" t="e">
        <f>+H15/D15*1000</f>
        <v>#DIV/0!</v>
      </c>
      <c r="M15" s="68"/>
      <c r="N15" s="69" t="e">
        <f>+H15-#REF!</f>
        <v>#REF!</v>
      </c>
      <c r="S15" s="2" t="s">
        <v>19</v>
      </c>
    </row>
    <row r="16" spans="1:19" ht="26.4" thickBot="1" x14ac:dyDescent="0.35">
      <c r="A16" s="56" t="s">
        <v>30</v>
      </c>
      <c r="B16" s="57" t="s">
        <v>28</v>
      </c>
      <c r="C16" s="58">
        <v>106</v>
      </c>
      <c r="D16" s="59">
        <v>0</v>
      </c>
      <c r="E16" s="60">
        <v>122</v>
      </c>
      <c r="F16" s="61">
        <f t="shared" si="5"/>
        <v>0</v>
      </c>
      <c r="G16" s="62"/>
      <c r="H16" s="63">
        <f t="shared" si="6"/>
        <v>0</v>
      </c>
      <c r="I16" s="64">
        <v>0</v>
      </c>
      <c r="J16" s="65">
        <v>0</v>
      </c>
      <c r="K16" s="70">
        <f t="shared" si="1"/>
        <v>0</v>
      </c>
      <c r="L16" s="67" t="e">
        <f t="shared" si="2"/>
        <v>#DIV/0!</v>
      </c>
      <c r="M16" s="68"/>
      <c r="N16" s="69" t="e">
        <f>+H16-#REF!</f>
        <v>#REF!</v>
      </c>
    </row>
    <row r="17" spans="1:14" ht="26.4" thickBot="1" x14ac:dyDescent="0.35">
      <c r="A17" s="71" t="s">
        <v>31</v>
      </c>
      <c r="B17" s="29" t="s">
        <v>32</v>
      </c>
      <c r="C17" s="30">
        <v>55</v>
      </c>
      <c r="D17" s="31">
        <v>1134</v>
      </c>
      <c r="E17" s="32">
        <v>125</v>
      </c>
      <c r="F17" s="32">
        <f t="shared" si="5"/>
        <v>141.75</v>
      </c>
      <c r="G17" s="46"/>
      <c r="H17" s="34">
        <f t="shared" si="6"/>
        <v>141.75</v>
      </c>
      <c r="I17" s="35">
        <v>2</v>
      </c>
      <c r="J17" s="36">
        <v>42</v>
      </c>
      <c r="K17" s="72">
        <f t="shared" si="1"/>
        <v>141.75</v>
      </c>
      <c r="L17" s="48">
        <f t="shared" si="2"/>
        <v>125</v>
      </c>
      <c r="M17" s="38"/>
      <c r="N17" s="39" t="e">
        <f>+H17-#REF!</f>
        <v>#REF!</v>
      </c>
    </row>
    <row r="18" spans="1:14" ht="26.4" thickBot="1" x14ac:dyDescent="0.35">
      <c r="A18" s="45" t="s">
        <v>33</v>
      </c>
      <c r="B18" s="29" t="s">
        <v>32</v>
      </c>
      <c r="C18" s="30">
        <v>55</v>
      </c>
      <c r="D18" s="31">
        <v>1380</v>
      </c>
      <c r="E18" s="32">
        <v>125</v>
      </c>
      <c r="F18" s="32">
        <f t="shared" si="5"/>
        <v>172.5</v>
      </c>
      <c r="G18" s="46"/>
      <c r="H18" s="34">
        <f t="shared" si="6"/>
        <v>172.5</v>
      </c>
      <c r="I18" s="35">
        <v>3</v>
      </c>
      <c r="J18" s="36">
        <v>23</v>
      </c>
      <c r="K18" s="72">
        <f t="shared" si="1"/>
        <v>172.5</v>
      </c>
      <c r="L18" s="48">
        <f t="shared" si="2"/>
        <v>125</v>
      </c>
      <c r="M18" s="38"/>
      <c r="N18" s="39" t="e">
        <f>+H18-#REF!</f>
        <v>#REF!</v>
      </c>
    </row>
    <row r="19" spans="1:14" ht="28.2" thickBot="1" x14ac:dyDescent="0.35">
      <c r="A19" s="45" t="s">
        <v>34</v>
      </c>
      <c r="B19" s="29" t="s">
        <v>32</v>
      </c>
      <c r="C19" s="30">
        <v>55</v>
      </c>
      <c r="D19" s="31">
        <v>1473</v>
      </c>
      <c r="E19" s="32">
        <v>125</v>
      </c>
      <c r="F19" s="32">
        <f t="shared" si="5"/>
        <v>184.125</v>
      </c>
      <c r="G19" s="46"/>
      <c r="H19" s="34">
        <f t="shared" si="6"/>
        <v>184.125</v>
      </c>
      <c r="I19" s="35">
        <v>3</v>
      </c>
      <c r="J19" s="36">
        <v>34</v>
      </c>
      <c r="K19" s="72">
        <f t="shared" si="1"/>
        <v>184.125</v>
      </c>
      <c r="L19" s="48">
        <f t="shared" si="2"/>
        <v>125</v>
      </c>
      <c r="M19" s="38"/>
      <c r="N19" s="39" t="e">
        <f>+H19-#REF!</f>
        <v>#REF!</v>
      </c>
    </row>
    <row r="20" spans="1:14" ht="26.4" thickBot="1" x14ac:dyDescent="0.35">
      <c r="A20" s="45" t="s">
        <v>35</v>
      </c>
      <c r="B20" s="29" t="s">
        <v>32</v>
      </c>
      <c r="C20" s="30">
        <v>55</v>
      </c>
      <c r="D20" s="31">
        <v>1479</v>
      </c>
      <c r="E20" s="32">
        <v>125</v>
      </c>
      <c r="F20" s="32">
        <f t="shared" si="5"/>
        <v>184.875</v>
      </c>
      <c r="G20" s="46"/>
      <c r="H20" s="34">
        <f t="shared" si="6"/>
        <v>184.875</v>
      </c>
      <c r="I20" s="35">
        <v>3</v>
      </c>
      <c r="J20" s="36">
        <v>35</v>
      </c>
      <c r="K20" s="72">
        <f t="shared" si="1"/>
        <v>184.875</v>
      </c>
      <c r="L20" s="48">
        <f t="shared" si="2"/>
        <v>125</v>
      </c>
      <c r="M20" s="38"/>
      <c r="N20" s="39" t="e">
        <f>+H20-#REF!</f>
        <v>#REF!</v>
      </c>
    </row>
    <row r="21" spans="1:14" ht="26.4" thickBot="1" x14ac:dyDescent="0.35">
      <c r="A21" s="45" t="s">
        <v>36</v>
      </c>
      <c r="B21" s="29" t="s">
        <v>32</v>
      </c>
      <c r="C21" s="30">
        <v>55</v>
      </c>
      <c r="D21" s="31">
        <v>1684</v>
      </c>
      <c r="E21" s="32">
        <v>125</v>
      </c>
      <c r="F21" s="32">
        <f t="shared" si="5"/>
        <v>210.5</v>
      </c>
      <c r="G21" s="46"/>
      <c r="H21" s="34">
        <f t="shared" si="6"/>
        <v>210.5</v>
      </c>
      <c r="I21" s="35">
        <v>4</v>
      </c>
      <c r="J21" s="36">
        <v>11</v>
      </c>
      <c r="K21" s="72">
        <f t="shared" si="1"/>
        <v>210.5</v>
      </c>
      <c r="L21" s="48">
        <f t="shared" si="2"/>
        <v>125</v>
      </c>
      <c r="M21" s="38"/>
      <c r="N21" s="39" t="e">
        <f>+H21-#REF!</f>
        <v>#REF!</v>
      </c>
    </row>
    <row r="22" spans="1:14" ht="26.4" thickBot="1" x14ac:dyDescent="0.35">
      <c r="A22" s="45" t="s">
        <v>37</v>
      </c>
      <c r="B22" s="29" t="s">
        <v>32</v>
      </c>
      <c r="C22" s="30">
        <v>31</v>
      </c>
      <c r="D22" s="31">
        <v>1770</v>
      </c>
      <c r="E22" s="32">
        <v>125</v>
      </c>
      <c r="F22" s="32">
        <f t="shared" si="5"/>
        <v>221.25</v>
      </c>
      <c r="G22" s="46"/>
      <c r="H22" s="34">
        <f t="shared" si="6"/>
        <v>221.25</v>
      </c>
      <c r="I22" s="35">
        <v>4</v>
      </c>
      <c r="J22" s="36">
        <v>21</v>
      </c>
      <c r="K22" s="72">
        <f t="shared" si="1"/>
        <v>221.25</v>
      </c>
      <c r="L22" s="48">
        <f t="shared" si="2"/>
        <v>125</v>
      </c>
      <c r="M22" s="48"/>
      <c r="N22" s="39" t="e">
        <f>+H22-#REF!</f>
        <v>#REF!</v>
      </c>
    </row>
    <row r="23" spans="1:14" ht="28.5" customHeight="1" thickBot="1" x14ac:dyDescent="0.35">
      <c r="A23" s="45" t="s">
        <v>38</v>
      </c>
      <c r="B23" s="29" t="s">
        <v>32</v>
      </c>
      <c r="C23" s="30">
        <v>31</v>
      </c>
      <c r="D23" s="31">
        <v>1642</v>
      </c>
      <c r="E23" s="32">
        <v>125</v>
      </c>
      <c r="F23" s="32">
        <f>+D23*E23/1000</f>
        <v>205.25</v>
      </c>
      <c r="G23" s="46"/>
      <c r="H23" s="34">
        <f t="shared" si="6"/>
        <v>205.25</v>
      </c>
      <c r="I23" s="35">
        <v>4</v>
      </c>
      <c r="J23" s="36">
        <v>5</v>
      </c>
      <c r="K23" s="72">
        <f t="shared" si="1"/>
        <v>205.25</v>
      </c>
      <c r="L23" s="48">
        <f t="shared" si="2"/>
        <v>125</v>
      </c>
      <c r="M23" s="48"/>
      <c r="N23" s="39" t="e">
        <f>+H23-#REF!</f>
        <v>#REF!</v>
      </c>
    </row>
    <row r="24" spans="1:14" ht="28.5" customHeight="1" thickBot="1" x14ac:dyDescent="0.35">
      <c r="A24" s="45" t="s">
        <v>39</v>
      </c>
      <c r="B24" s="29" t="s">
        <v>32</v>
      </c>
      <c r="C24" s="30">
        <v>31</v>
      </c>
      <c r="D24" s="31">
        <v>1094</v>
      </c>
      <c r="E24" s="32">
        <v>125</v>
      </c>
      <c r="F24" s="32">
        <f t="shared" ref="F24:F28" si="7">+D24*E24/1000</f>
        <v>136.75</v>
      </c>
      <c r="G24" s="46"/>
      <c r="H24" s="34">
        <f t="shared" si="6"/>
        <v>136.75</v>
      </c>
      <c r="I24" s="35">
        <v>2</v>
      </c>
      <c r="J24" s="36">
        <v>37</v>
      </c>
      <c r="K24" s="72">
        <f t="shared" si="1"/>
        <v>136.75</v>
      </c>
      <c r="L24" s="48">
        <f t="shared" si="2"/>
        <v>125</v>
      </c>
      <c r="M24" s="48"/>
      <c r="N24" s="39" t="e">
        <f>+H24-#REF!</f>
        <v>#REF!</v>
      </c>
    </row>
    <row r="25" spans="1:14" ht="26.4" thickBot="1" x14ac:dyDescent="0.35">
      <c r="A25" s="73"/>
      <c r="B25" s="74"/>
      <c r="C25" s="75"/>
      <c r="D25" s="76">
        <v>0</v>
      </c>
      <c r="E25" s="77"/>
      <c r="F25" s="78">
        <f t="shared" si="7"/>
        <v>0</v>
      </c>
      <c r="G25" s="79"/>
      <c r="H25" s="80">
        <f t="shared" si="6"/>
        <v>0</v>
      </c>
      <c r="I25" s="81">
        <v>0</v>
      </c>
      <c r="J25" s="36">
        <v>0</v>
      </c>
      <c r="K25" s="82">
        <f t="shared" si="1"/>
        <v>0</v>
      </c>
      <c r="L25" s="83" t="e">
        <f t="shared" si="2"/>
        <v>#DIV/0!</v>
      </c>
      <c r="M25" s="83"/>
      <c r="N25" s="84" t="e">
        <f>+H25-#REF!</f>
        <v>#REF!</v>
      </c>
    </row>
    <row r="26" spans="1:14" ht="26.4" thickBot="1" x14ac:dyDescent="0.35">
      <c r="A26" s="73"/>
      <c r="B26" s="74"/>
      <c r="C26" s="75"/>
      <c r="D26" s="76">
        <v>0</v>
      </c>
      <c r="E26" s="77"/>
      <c r="F26" s="78">
        <f t="shared" si="7"/>
        <v>0</v>
      </c>
      <c r="G26" s="79"/>
      <c r="H26" s="80">
        <f t="shared" si="6"/>
        <v>0</v>
      </c>
      <c r="I26" s="81">
        <v>0</v>
      </c>
      <c r="J26" s="36">
        <v>0</v>
      </c>
      <c r="K26" s="82">
        <f t="shared" si="1"/>
        <v>0</v>
      </c>
      <c r="L26" s="83" t="e">
        <f t="shared" si="2"/>
        <v>#DIV/0!</v>
      </c>
      <c r="M26" s="83"/>
      <c r="N26" s="84" t="e">
        <f>+H26-#REF!</f>
        <v>#REF!</v>
      </c>
    </row>
    <row r="27" spans="1:14" ht="26.4" thickBot="1" x14ac:dyDescent="0.35">
      <c r="A27" s="73"/>
      <c r="B27" s="74"/>
      <c r="C27" s="75"/>
      <c r="D27" s="76">
        <v>0</v>
      </c>
      <c r="E27" s="77"/>
      <c r="F27" s="78">
        <f t="shared" si="7"/>
        <v>0</v>
      </c>
      <c r="G27" s="79"/>
      <c r="H27" s="80">
        <f t="shared" si="6"/>
        <v>0</v>
      </c>
      <c r="I27" s="81">
        <v>0</v>
      </c>
      <c r="J27" s="36">
        <v>0</v>
      </c>
      <c r="K27" s="82">
        <f t="shared" si="1"/>
        <v>0</v>
      </c>
      <c r="L27" s="83" t="e">
        <f t="shared" si="2"/>
        <v>#DIV/0!</v>
      </c>
      <c r="M27" s="83"/>
      <c r="N27" s="84" t="e">
        <f>+H27-#REF!</f>
        <v>#REF!</v>
      </c>
    </row>
    <row r="28" spans="1:14" ht="26.4" thickBot="1" x14ac:dyDescent="0.35">
      <c r="A28" s="73"/>
      <c r="B28" s="74"/>
      <c r="C28" s="75"/>
      <c r="D28" s="76">
        <v>0</v>
      </c>
      <c r="E28" s="77"/>
      <c r="F28" s="78">
        <f t="shared" si="7"/>
        <v>0</v>
      </c>
      <c r="G28" s="79"/>
      <c r="H28" s="80">
        <f t="shared" si="6"/>
        <v>0</v>
      </c>
      <c r="I28" s="81">
        <v>0</v>
      </c>
      <c r="J28" s="36">
        <v>0</v>
      </c>
      <c r="K28" s="82">
        <f t="shared" si="1"/>
        <v>0</v>
      </c>
      <c r="L28" s="83" t="e">
        <f>+H28/D28*1000</f>
        <v>#DIV/0!</v>
      </c>
      <c r="M28" s="83"/>
      <c r="N28" s="84" t="e">
        <f>+H28-#REF!</f>
        <v>#REF!</v>
      </c>
    </row>
    <row r="29" spans="1:14" ht="15" thickBot="1" x14ac:dyDescent="0.35">
      <c r="A29" s="85" t="s">
        <v>40</v>
      </c>
      <c r="B29" s="86"/>
      <c r="C29" s="87"/>
      <c r="D29" s="88"/>
      <c r="E29" s="88"/>
      <c r="F29" s="89">
        <f>SUM(F6:F28)</f>
        <v>5697.8520000000008</v>
      </c>
      <c r="G29" s="89">
        <v>0</v>
      </c>
      <c r="H29" s="90">
        <f>SUM(H6:H28)</f>
        <v>5697.8520000000008</v>
      </c>
      <c r="I29" s="90">
        <f t="shared" ref="I29:J29" si="8">SUM(I6:I28)</f>
        <v>106</v>
      </c>
      <c r="J29" s="90">
        <f t="shared" si="8"/>
        <v>400</v>
      </c>
      <c r="K29" s="88"/>
      <c r="L29" s="91"/>
      <c r="M29" s="88">
        <v>0</v>
      </c>
      <c r="N29" s="39" t="e">
        <f>+H29-#REF!</f>
        <v>#REF!</v>
      </c>
    </row>
    <row r="30" spans="1:14" x14ac:dyDescent="0.3">
      <c r="A30" s="6"/>
      <c r="B30" s="6"/>
      <c r="C30" s="6"/>
      <c r="D30" s="6"/>
      <c r="E30" s="92"/>
      <c r="F30" s="92"/>
      <c r="G30" s="92"/>
      <c r="H30" s="93"/>
      <c r="I30" s="92"/>
      <c r="J30" s="94"/>
      <c r="K30" s="95"/>
      <c r="L30" s="6"/>
    </row>
    <row r="31" spans="1:14" ht="15.6" x14ac:dyDescent="0.3">
      <c r="A31" s="96" t="s">
        <v>41</v>
      </c>
      <c r="B31" s="96"/>
      <c r="C31" s="96"/>
      <c r="D31" s="6"/>
      <c r="E31" s="6"/>
      <c r="F31" s="92"/>
      <c r="G31" s="92"/>
      <c r="H31" s="92"/>
      <c r="I31" s="93"/>
      <c r="J31" s="6"/>
      <c r="K31" s="94"/>
      <c r="L31" s="95"/>
      <c r="M31" s="6"/>
    </row>
    <row r="32" spans="1:14" x14ac:dyDescent="0.3">
      <c r="A32" s="6"/>
      <c r="B32" s="6"/>
      <c r="C32" s="6"/>
      <c r="D32" s="6"/>
      <c r="E32" s="6"/>
      <c r="F32" s="92"/>
      <c r="G32" s="92"/>
      <c r="H32" s="92"/>
      <c r="I32" s="93"/>
      <c r="J32" s="6"/>
      <c r="K32" s="94"/>
      <c r="L32" s="95"/>
      <c r="M32" s="6"/>
    </row>
    <row r="33" spans="1:27" x14ac:dyDescent="0.3">
      <c r="A33" s="97" t="s">
        <v>42</v>
      </c>
      <c r="B33" s="98" t="s">
        <v>43</v>
      </c>
      <c r="C33" s="98"/>
      <c r="D33" s="99" t="s">
        <v>44</v>
      </c>
      <c r="E33" s="100" t="s">
        <v>45</v>
      </c>
      <c r="F33" s="101"/>
      <c r="G33" s="6"/>
      <c r="H33" s="92"/>
      <c r="I33" s="93"/>
      <c r="J33" s="6"/>
      <c r="K33" s="11"/>
      <c r="L33" s="6"/>
      <c r="M33" s="6"/>
      <c r="N33" s="6"/>
    </row>
    <row r="34" spans="1:27" x14ac:dyDescent="0.3">
      <c r="A34" s="102" t="s">
        <v>46</v>
      </c>
      <c r="B34" s="103"/>
      <c r="C34" s="103"/>
      <c r="D34" s="104"/>
      <c r="E34" s="105">
        <f t="shared" ref="E34:E36" si="9">+B34-D34</f>
        <v>0</v>
      </c>
      <c r="F34" s="106"/>
      <c r="G34" s="6"/>
      <c r="H34" s="92"/>
      <c r="I34" s="93"/>
      <c r="J34" s="6"/>
      <c r="K34" s="11"/>
      <c r="L34" s="6"/>
      <c r="M34" s="6"/>
      <c r="N34" s="6"/>
    </row>
    <row r="35" spans="1:27" x14ac:dyDescent="0.3">
      <c r="A35" s="102" t="s">
        <v>47</v>
      </c>
      <c r="B35" s="103"/>
      <c r="C35" s="103"/>
      <c r="D35" s="104"/>
      <c r="E35" s="105">
        <f t="shared" si="9"/>
        <v>0</v>
      </c>
      <c r="F35" s="106"/>
      <c r="G35" s="6"/>
      <c r="H35" s="92"/>
      <c r="I35" s="93"/>
      <c r="J35" s="6"/>
      <c r="K35" s="11"/>
      <c r="L35" s="6"/>
      <c r="M35" s="6"/>
      <c r="N35" s="6"/>
    </row>
    <row r="36" spans="1:27" ht="15" thickBot="1" x14ac:dyDescent="0.35">
      <c r="A36" s="107" t="s">
        <v>48</v>
      </c>
      <c r="B36" s="108" t="e">
        <f>+H14+H15+H16+#REF!</f>
        <v>#REF!</v>
      </c>
      <c r="C36" s="108">
        <f>26*50</f>
        <v>1300</v>
      </c>
      <c r="D36" s="109"/>
      <c r="E36" s="110" t="e">
        <f t="shared" si="9"/>
        <v>#REF!</v>
      </c>
      <c r="F36" s="111"/>
      <c r="G36" s="6"/>
      <c r="H36" s="92"/>
      <c r="I36" s="93"/>
      <c r="J36" s="6"/>
      <c r="K36" s="11"/>
      <c r="L36" s="6"/>
      <c r="M36" s="6"/>
      <c r="N36" s="6"/>
    </row>
    <row r="37" spans="1:27" ht="15" thickBot="1" x14ac:dyDescent="0.35">
      <c r="A37" s="112" t="s">
        <v>49</v>
      </c>
      <c r="B37" s="103">
        <f>+H17+H18+H19+H20+H21</f>
        <v>893.75</v>
      </c>
      <c r="C37" s="103"/>
      <c r="D37" s="104"/>
      <c r="E37" s="105"/>
      <c r="F37" s="106"/>
      <c r="G37" s="113"/>
      <c r="H37" s="114"/>
      <c r="I37" s="115"/>
      <c r="J37" s="113"/>
      <c r="K37" s="116"/>
      <c r="L37" s="113"/>
      <c r="M37" s="113"/>
      <c r="N37" s="113"/>
    </row>
    <row r="38" spans="1:27" x14ac:dyDescent="0.3">
      <c r="A38" s="117" t="s">
        <v>50</v>
      </c>
      <c r="B38" s="118" t="e">
        <f>+H6+H7+H8+H9+H10+H11+H12+#REF!+H13</f>
        <v>#REF!</v>
      </c>
      <c r="C38" s="118">
        <f>75*50</f>
        <v>3750</v>
      </c>
      <c r="D38" s="119"/>
      <c r="E38" s="120" t="e">
        <f>+B38-D38</f>
        <v>#REF!</v>
      </c>
      <c r="F38" s="121"/>
      <c r="G38" s="114"/>
      <c r="H38" s="114"/>
      <c r="I38" s="93"/>
      <c r="J38" s="6"/>
      <c r="K38" s="11"/>
      <c r="L38" s="92"/>
      <c r="M38" s="6"/>
      <c r="N38" s="6"/>
    </row>
    <row r="39" spans="1:27" x14ac:dyDescent="0.3">
      <c r="A39" s="102" t="s">
        <v>51</v>
      </c>
      <c r="B39" s="122"/>
      <c r="C39" s="122"/>
      <c r="D39" s="123"/>
      <c r="E39" s="124">
        <f>+B39-D39</f>
        <v>0</v>
      </c>
      <c r="F39" s="125"/>
      <c r="G39" s="126"/>
      <c r="H39" s="126"/>
      <c r="I39" s="126"/>
      <c r="J39" s="95"/>
      <c r="K39" s="95"/>
      <c r="L39" s="126"/>
      <c r="M39" s="126"/>
      <c r="N39" s="6"/>
    </row>
    <row r="40" spans="1:27" x14ac:dyDescent="0.3">
      <c r="A40" s="6"/>
      <c r="B40" s="127" t="e">
        <f>SUM(B36:B39)</f>
        <v>#REF!</v>
      </c>
      <c r="C40" s="127">
        <f>SUM(C35:C39)</f>
        <v>5050</v>
      </c>
      <c r="D40" s="95"/>
      <c r="E40" s="95"/>
      <c r="F40" s="95"/>
      <c r="G40" s="126"/>
      <c r="H40" s="126"/>
      <c r="I40" s="126"/>
      <c r="J40" s="95"/>
      <c r="K40" s="95"/>
      <c r="L40" s="126"/>
      <c r="M40" s="126"/>
      <c r="N40" s="6"/>
    </row>
    <row r="41" spans="1:27" x14ac:dyDescent="0.3">
      <c r="A41" s="6"/>
      <c r="B41" s="126"/>
      <c r="C41" s="126"/>
      <c r="D41" s="95"/>
      <c r="E41" s="95"/>
      <c r="F41" s="95"/>
      <c r="G41" s="126"/>
      <c r="H41" s="126"/>
      <c r="I41" s="126"/>
      <c r="J41" s="95"/>
      <c r="K41" s="95"/>
      <c r="L41" s="126"/>
      <c r="M41" s="126"/>
      <c r="N41" s="6"/>
    </row>
    <row r="42" spans="1:27" x14ac:dyDescent="0.3">
      <c r="A42" s="6"/>
      <c r="B42" s="126" t="s">
        <v>52</v>
      </c>
      <c r="C42" s="126"/>
      <c r="D42" s="95"/>
      <c r="E42" s="95"/>
      <c r="F42" s="95"/>
      <c r="G42" s="126" t="s">
        <v>53</v>
      </c>
      <c r="H42" s="126"/>
      <c r="I42" s="126"/>
      <c r="J42" s="95"/>
      <c r="K42" s="95"/>
      <c r="L42" s="126" t="s">
        <v>54</v>
      </c>
      <c r="M42" s="126"/>
      <c r="N42" s="6"/>
    </row>
    <row r="43" spans="1:27" x14ac:dyDescent="0.3">
      <c r="A43" s="6"/>
      <c r="B43" s="6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6"/>
    </row>
    <row r="44" spans="1:27" x14ac:dyDescent="0.3">
      <c r="A44" s="128"/>
      <c r="B44" s="128"/>
      <c r="C44" s="128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6"/>
    </row>
    <row r="45" spans="1:27" x14ac:dyDescent="0.3">
      <c r="A45" s="6"/>
      <c r="B45" s="126" t="s">
        <v>55</v>
      </c>
      <c r="C45" s="126"/>
      <c r="D45" s="95"/>
      <c r="E45" s="95"/>
      <c r="F45" s="95"/>
      <c r="G45" s="126" t="s">
        <v>56</v>
      </c>
      <c r="H45" s="126"/>
      <c r="I45" s="126"/>
      <c r="J45" s="95"/>
      <c r="K45" s="95"/>
      <c r="L45" s="126" t="s">
        <v>57</v>
      </c>
      <c r="M45" s="126"/>
      <c r="N45" s="6"/>
    </row>
    <row r="48" spans="1:27" ht="27.6" x14ac:dyDescent="0.3">
      <c r="R48" s="129" t="s">
        <v>58</v>
      </c>
      <c r="S48" s="130"/>
      <c r="T48" s="130"/>
      <c r="U48" s="131"/>
      <c r="X48" s="132" t="s">
        <v>59</v>
      </c>
      <c r="Y48" s="133"/>
      <c r="Z48" s="133"/>
      <c r="AA48" s="134"/>
    </row>
    <row r="49" spans="18:27" ht="55.2" x14ac:dyDescent="0.3">
      <c r="R49" s="135" t="s">
        <v>2</v>
      </c>
      <c r="S49" s="136" t="s">
        <v>60</v>
      </c>
      <c r="T49" s="136" t="s">
        <v>61</v>
      </c>
      <c r="U49" s="136" t="s">
        <v>62</v>
      </c>
      <c r="V49" s="2" t="s">
        <v>63</v>
      </c>
      <c r="X49" s="135" t="s">
        <v>2</v>
      </c>
      <c r="Y49" s="136" t="s">
        <v>60</v>
      </c>
      <c r="Z49" s="136" t="s">
        <v>61</v>
      </c>
      <c r="AA49" s="136" t="s">
        <v>62</v>
      </c>
    </row>
    <row r="50" spans="18:27" ht="51" x14ac:dyDescent="0.85">
      <c r="R50" s="137" t="s">
        <v>27</v>
      </c>
      <c r="S50" s="138">
        <v>7.93</v>
      </c>
      <c r="T50" s="139">
        <v>0</v>
      </c>
      <c r="U50" s="140">
        <v>8</v>
      </c>
      <c r="X50" s="141"/>
      <c r="Y50" s="138"/>
      <c r="Z50" s="142"/>
      <c r="AA50" s="142"/>
    </row>
    <row r="51" spans="18:27" ht="61.2" x14ac:dyDescent="0.85">
      <c r="R51" s="137" t="s">
        <v>29</v>
      </c>
      <c r="S51" s="138">
        <v>0</v>
      </c>
      <c r="T51" s="139">
        <v>0</v>
      </c>
      <c r="U51" s="140">
        <v>0</v>
      </c>
      <c r="X51" s="141"/>
      <c r="Y51" s="138"/>
      <c r="Z51" s="142"/>
      <c r="AA51" s="142"/>
    </row>
    <row r="52" spans="18:27" ht="61.2" x14ac:dyDescent="0.85">
      <c r="R52" s="137" t="s">
        <v>30</v>
      </c>
      <c r="S52" s="138">
        <v>0</v>
      </c>
      <c r="T52" s="139">
        <v>0</v>
      </c>
      <c r="U52" s="140">
        <v>0</v>
      </c>
      <c r="X52" s="141"/>
      <c r="Y52" s="138"/>
      <c r="Z52" s="142"/>
      <c r="AA52" s="142"/>
    </row>
    <row r="53" spans="18:27" ht="51" x14ac:dyDescent="0.85">
      <c r="R53" s="143" t="s">
        <v>64</v>
      </c>
      <c r="S53" s="144">
        <f>+SUM(S50:S52)</f>
        <v>7.93</v>
      </c>
      <c r="T53" s="144">
        <f>+SUM(T50:T52)</f>
        <v>0</v>
      </c>
      <c r="U53" s="144">
        <f>+SUM(U50:U52)</f>
        <v>8</v>
      </c>
      <c r="X53" s="145" t="s">
        <v>64</v>
      </c>
      <c r="Y53" s="146">
        <f>SUM(Y50:Y52)</f>
        <v>0</v>
      </c>
      <c r="Z53" s="146">
        <f>SUM(Z50:Z52)</f>
        <v>0</v>
      </c>
      <c r="AA53" s="146">
        <f>SUM(AA50:AA52)</f>
        <v>0</v>
      </c>
    </row>
    <row r="54" spans="18:27" ht="45.6" x14ac:dyDescent="0.3">
      <c r="R54" s="147" t="s">
        <v>64</v>
      </c>
      <c r="S54" s="148">
        <f>+S53+Y53+S78</f>
        <v>5698.2210000000005</v>
      </c>
      <c r="T54" s="148">
        <f>+T53+Z53+T78+Z58</f>
        <v>106</v>
      </c>
      <c r="U54" s="148">
        <f>U53+AA53+U78+AA58</f>
        <v>400</v>
      </c>
    </row>
    <row r="55" spans="18:27" ht="27.6" x14ac:dyDescent="0.3">
      <c r="T55" s="149"/>
      <c r="X55" s="150"/>
      <c r="Y55" s="150"/>
      <c r="Z55" s="150"/>
      <c r="AA55" s="150"/>
    </row>
    <row r="56" spans="18:27" ht="30" x14ac:dyDescent="0.3">
      <c r="R56" s="151" t="s">
        <v>32</v>
      </c>
      <c r="S56" s="152"/>
      <c r="T56" s="153"/>
      <c r="U56" s="154"/>
      <c r="X56" s="155"/>
      <c r="Y56" s="156"/>
      <c r="Z56" s="156"/>
      <c r="AA56" s="156"/>
    </row>
    <row r="57" spans="18:27" ht="55.2" x14ac:dyDescent="0.85">
      <c r="R57" s="157" t="s">
        <v>2</v>
      </c>
      <c r="S57" s="158" t="s">
        <v>60</v>
      </c>
      <c r="T57" s="158" t="s">
        <v>61</v>
      </c>
      <c r="U57" s="158" t="s">
        <v>62</v>
      </c>
      <c r="X57" s="159"/>
      <c r="Y57" s="160"/>
      <c r="Z57" s="161"/>
      <c r="AA57" s="161"/>
    </row>
    <row r="58" spans="18:27" ht="61.8" thickBot="1" x14ac:dyDescent="0.9">
      <c r="R58" s="162" t="s">
        <v>17</v>
      </c>
      <c r="S58" s="138">
        <v>499.995</v>
      </c>
      <c r="T58" s="142">
        <v>10</v>
      </c>
      <c r="U58" s="163">
        <v>0</v>
      </c>
      <c r="X58" s="164"/>
      <c r="Y58" s="165"/>
      <c r="Z58" s="165"/>
      <c r="AA58" s="165"/>
    </row>
    <row r="59" spans="18:27" ht="61.8" thickBot="1" x14ac:dyDescent="0.9">
      <c r="R59" s="162" t="s">
        <v>20</v>
      </c>
      <c r="S59" s="138">
        <v>498.51900000000001</v>
      </c>
      <c r="T59" s="142">
        <v>9</v>
      </c>
      <c r="U59" s="163">
        <v>49</v>
      </c>
    </row>
    <row r="60" spans="18:27" ht="51.6" thickBot="1" x14ac:dyDescent="0.9">
      <c r="R60" s="162" t="s">
        <v>21</v>
      </c>
      <c r="S60" s="138">
        <v>509.375</v>
      </c>
      <c r="T60" s="142">
        <v>10</v>
      </c>
      <c r="U60" s="163">
        <v>9</v>
      </c>
    </row>
    <row r="61" spans="18:27" ht="61.8" thickBot="1" x14ac:dyDescent="0.9">
      <c r="R61" s="162" t="s">
        <v>22</v>
      </c>
      <c r="S61" s="138">
        <v>523.5</v>
      </c>
      <c r="T61" s="142">
        <v>10</v>
      </c>
      <c r="U61" s="163">
        <v>24</v>
      </c>
    </row>
    <row r="62" spans="18:27" ht="61.8" thickBot="1" x14ac:dyDescent="0.9">
      <c r="R62" s="162" t="s">
        <v>23</v>
      </c>
      <c r="S62" s="138">
        <v>540.625</v>
      </c>
      <c r="T62" s="142">
        <v>10</v>
      </c>
      <c r="U62" s="163">
        <v>41</v>
      </c>
    </row>
    <row r="63" spans="18:27" ht="61.8" thickBot="1" x14ac:dyDescent="0.9">
      <c r="R63" s="166" t="s">
        <v>24</v>
      </c>
      <c r="S63" s="138">
        <v>565.25</v>
      </c>
      <c r="T63" s="142">
        <v>11</v>
      </c>
      <c r="U63" s="163">
        <v>15</v>
      </c>
    </row>
    <row r="64" spans="18:27" ht="51.6" thickBot="1" x14ac:dyDescent="0.9">
      <c r="R64" s="166" t="s">
        <v>65</v>
      </c>
      <c r="S64" s="138">
        <v>551.875</v>
      </c>
      <c r="T64" s="142">
        <v>11</v>
      </c>
      <c r="U64" s="163">
        <v>2</v>
      </c>
    </row>
    <row r="65" spans="18:21" ht="51.6" thickBot="1" x14ac:dyDescent="0.9">
      <c r="R65" s="166" t="s">
        <v>26</v>
      </c>
      <c r="S65" s="138">
        <v>544.15200000000004</v>
      </c>
      <c r="T65" s="142">
        <v>10</v>
      </c>
      <c r="U65" s="163">
        <v>44</v>
      </c>
    </row>
    <row r="66" spans="18:21" ht="61.8" thickBot="1" x14ac:dyDescent="0.9">
      <c r="R66" s="167" t="s">
        <v>31</v>
      </c>
      <c r="S66" s="138">
        <v>141.75</v>
      </c>
      <c r="T66" s="142">
        <v>2</v>
      </c>
      <c r="U66" s="163">
        <v>42</v>
      </c>
    </row>
    <row r="67" spans="18:21" ht="51.75" customHeight="1" thickBot="1" x14ac:dyDescent="0.9">
      <c r="R67" s="168" t="s">
        <v>33</v>
      </c>
      <c r="S67" s="138">
        <v>172.5</v>
      </c>
      <c r="T67" s="142">
        <v>3</v>
      </c>
      <c r="U67" s="163">
        <v>23</v>
      </c>
    </row>
    <row r="68" spans="18:21" ht="55.5" customHeight="1" thickBot="1" x14ac:dyDescent="0.9">
      <c r="R68" s="168" t="s">
        <v>34</v>
      </c>
      <c r="S68" s="138">
        <v>184.125</v>
      </c>
      <c r="T68" s="142">
        <v>3</v>
      </c>
      <c r="U68" s="163">
        <v>34</v>
      </c>
    </row>
    <row r="69" spans="18:21" ht="50.25" customHeight="1" thickBot="1" x14ac:dyDescent="0.9">
      <c r="R69" s="168" t="s">
        <v>35</v>
      </c>
      <c r="S69" s="138">
        <v>184.875</v>
      </c>
      <c r="T69" s="142">
        <v>3</v>
      </c>
      <c r="U69" s="163">
        <v>35</v>
      </c>
    </row>
    <row r="70" spans="18:21" ht="61.8" thickBot="1" x14ac:dyDescent="0.9">
      <c r="R70" s="168" t="s">
        <v>36</v>
      </c>
      <c r="S70" s="138">
        <v>210.5</v>
      </c>
      <c r="T70" s="142">
        <v>4</v>
      </c>
      <c r="U70" s="163">
        <v>11</v>
      </c>
    </row>
    <row r="71" spans="18:21" ht="61.8" thickBot="1" x14ac:dyDescent="0.9">
      <c r="R71" s="168" t="s">
        <v>37</v>
      </c>
      <c r="S71" s="138">
        <v>221.25</v>
      </c>
      <c r="T71" s="142">
        <v>4</v>
      </c>
      <c r="U71" s="163">
        <v>21</v>
      </c>
    </row>
    <row r="72" spans="18:21" ht="61.8" thickBot="1" x14ac:dyDescent="0.9">
      <c r="R72" s="169" t="s">
        <v>38</v>
      </c>
      <c r="S72" s="138">
        <v>205.25</v>
      </c>
      <c r="T72" s="142">
        <v>4</v>
      </c>
      <c r="U72" s="163">
        <v>5</v>
      </c>
    </row>
    <row r="73" spans="18:21" ht="61.8" thickBot="1" x14ac:dyDescent="0.9">
      <c r="R73" s="169" t="s">
        <v>39</v>
      </c>
      <c r="S73" s="138">
        <v>136.75</v>
      </c>
      <c r="T73" s="142">
        <v>2</v>
      </c>
      <c r="U73" s="163">
        <v>37</v>
      </c>
    </row>
    <row r="74" spans="18:21" ht="51.6" thickBot="1" x14ac:dyDescent="0.9">
      <c r="R74" s="170"/>
      <c r="S74" s="138">
        <v>0</v>
      </c>
      <c r="T74" s="139">
        <v>0</v>
      </c>
      <c r="U74" s="139">
        <v>0</v>
      </c>
    </row>
    <row r="75" spans="18:21" ht="51.6" thickBot="1" x14ac:dyDescent="0.9">
      <c r="R75" s="170"/>
      <c r="S75" s="138">
        <v>0</v>
      </c>
      <c r="T75" s="139">
        <v>0</v>
      </c>
      <c r="U75" s="139">
        <v>0</v>
      </c>
    </row>
    <row r="76" spans="18:21" ht="51.6" thickBot="1" x14ac:dyDescent="0.9">
      <c r="R76" s="170"/>
      <c r="S76" s="138">
        <v>0</v>
      </c>
      <c r="T76" s="139">
        <v>0</v>
      </c>
      <c r="U76" s="139">
        <v>0</v>
      </c>
    </row>
    <row r="77" spans="18:21" ht="51.6" thickBot="1" x14ac:dyDescent="0.9">
      <c r="R77" s="170"/>
      <c r="S77" s="138">
        <v>0</v>
      </c>
      <c r="T77" s="139">
        <v>0</v>
      </c>
      <c r="U77" s="139">
        <v>0</v>
      </c>
    </row>
    <row r="78" spans="18:21" ht="45.6" x14ac:dyDescent="0.75">
      <c r="R78" s="171" t="s">
        <v>64</v>
      </c>
      <c r="S78" s="172">
        <f>SUM(S58:S77)</f>
        <v>5690.2910000000002</v>
      </c>
      <c r="T78" s="172">
        <f>SUM(T58:T77)</f>
        <v>106</v>
      </c>
      <c r="U78" s="172">
        <f>SUM(U58:U77)</f>
        <v>392</v>
      </c>
    </row>
    <row r="81" spans="20:20" x14ac:dyDescent="0.3">
      <c r="T81" s="2" t="s">
        <v>66</v>
      </c>
    </row>
  </sheetData>
  <mergeCells count="1">
    <mergeCell ref="A1:N1"/>
  </mergeCells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3-9</vt:lpstr>
      <vt:lpstr>'3-9'!Print_Area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CHAN</dc:creator>
  <cp:lastModifiedBy>ARIF CHAN</cp:lastModifiedBy>
  <dcterms:created xsi:type="dcterms:W3CDTF">2026-09-03T10:12:15Z</dcterms:created>
  <dcterms:modified xsi:type="dcterms:W3CDTF">2026-09-03T10:12:34Z</dcterms:modified>
</cp:coreProperties>
</file>