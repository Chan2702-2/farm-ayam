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\Downloads\LPH 3-9-26\"/>
    </mc:Choice>
  </mc:AlternateContent>
  <xr:revisionPtr revIDLastSave="0" documentId="8_{9D6F396E-27B0-41F7-BB37-ABCA6E8D856E}" xr6:coauthVersionLast="47" xr6:coauthVersionMax="47" xr10:uidLastSave="{00000000-0000-0000-0000-000000000000}"/>
  <bookViews>
    <workbookView xWindow="-108" yWindow="-108" windowWidth="23256" windowHeight="13176" xr2:uid="{EAF0A318-F217-49DB-904E-2879161DDC0C}"/>
  </bookViews>
  <sheets>
    <sheet name="3-9" sheetId="1" r:id="rId1"/>
  </sheets>
  <externalReferences>
    <externalReference r:id="rId2"/>
  </externalReferences>
  <definedNames>
    <definedName name="_xlnm.Print_Area" localSheetId="0">'3-9'!$A$1:$AC$44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53" i="1" l="1"/>
  <c r="F42" i="1"/>
  <c r="H40" i="1"/>
  <c r="Q38" i="1"/>
  <c r="W25" i="1"/>
  <c r="V25" i="1"/>
  <c r="U25" i="1"/>
  <c r="T25" i="1"/>
  <c r="S25" i="1"/>
  <c r="R25" i="1"/>
  <c r="Q25" i="1"/>
  <c r="P25" i="1"/>
  <c r="E25" i="1"/>
  <c r="D44" i="1" s="1"/>
  <c r="D25" i="1"/>
  <c r="D42" i="1" s="1"/>
  <c r="X24" i="1"/>
  <c r="Z24" i="1" s="1"/>
  <c r="I24" i="1"/>
  <c r="H24" i="1"/>
  <c r="C24" i="1"/>
  <c r="K24" i="1" s="1"/>
  <c r="Z23" i="1"/>
  <c r="AE23" i="1" s="1"/>
  <c r="Y23" i="1"/>
  <c r="X23" i="1"/>
  <c r="K23" i="1"/>
  <c r="H23" i="1"/>
  <c r="C23" i="1"/>
  <c r="X22" i="1"/>
  <c r="Y22" i="1" s="1"/>
  <c r="C22" i="1"/>
  <c r="K22" i="1" s="1"/>
  <c r="Z21" i="1"/>
  <c r="Y21" i="1"/>
  <c r="X21" i="1"/>
  <c r="G21" i="1"/>
  <c r="G23" i="1" s="1"/>
  <c r="C21" i="1"/>
  <c r="K21" i="1" s="1"/>
  <c r="X20" i="1"/>
  <c r="Z20" i="1" s="1"/>
  <c r="AE20" i="1" s="1"/>
  <c r="K20" i="1"/>
  <c r="C20" i="1"/>
  <c r="B20" i="1"/>
  <c r="X19" i="1"/>
  <c r="X31" i="1" s="1"/>
  <c r="G30" i="1" s="1"/>
  <c r="O19" i="1"/>
  <c r="O20" i="1" s="1"/>
  <c r="O21" i="1" s="1"/>
  <c r="O22" i="1" s="1"/>
  <c r="O23" i="1" s="1"/>
  <c r="O24" i="1" s="1"/>
  <c r="M19" i="1"/>
  <c r="M20" i="1" s="1"/>
  <c r="M21" i="1" s="1"/>
  <c r="M22" i="1" s="1"/>
  <c r="M23" i="1" s="1"/>
  <c r="M24" i="1" s="1"/>
  <c r="G19" i="1"/>
  <c r="C19" i="1"/>
  <c r="K19" i="1" s="1"/>
  <c r="AF18" i="1"/>
  <c r="AF19" i="1" s="1"/>
  <c r="AF20" i="1" s="1"/>
  <c r="AF21" i="1" s="1"/>
  <c r="AF22" i="1" s="1"/>
  <c r="AF23" i="1" s="1"/>
  <c r="AF24" i="1" s="1"/>
  <c r="AA18" i="1"/>
  <c r="AA19" i="1" s="1"/>
  <c r="AA20" i="1" s="1"/>
  <c r="AA21" i="1" s="1"/>
  <c r="AA22" i="1" s="1"/>
  <c r="AA23" i="1" s="1"/>
  <c r="AA24" i="1" s="1"/>
  <c r="Z18" i="1"/>
  <c r="AE18" i="1" s="1"/>
  <c r="Y18" i="1"/>
  <c r="X18" i="1"/>
  <c r="O18" i="1"/>
  <c r="M18" i="1"/>
  <c r="J18" i="1"/>
  <c r="J19" i="1" s="1"/>
  <c r="J20" i="1" s="1"/>
  <c r="J21" i="1" s="1"/>
  <c r="J22" i="1" s="1"/>
  <c r="J23" i="1" s="1"/>
  <c r="J24" i="1" s="1"/>
  <c r="I18" i="1"/>
  <c r="I19" i="1" s="1"/>
  <c r="I20" i="1" s="1"/>
  <c r="I21" i="1" s="1"/>
  <c r="I22" i="1" s="1"/>
  <c r="I23" i="1" s="1"/>
  <c r="H18" i="1"/>
  <c r="H19" i="1" s="1"/>
  <c r="H20" i="1" s="1"/>
  <c r="H21" i="1" s="1"/>
  <c r="H22" i="1" s="1"/>
  <c r="G18" i="1"/>
  <c r="G20" i="1" s="1"/>
  <c r="G22" i="1" s="1"/>
  <c r="G24" i="1" s="1"/>
  <c r="C18" i="1"/>
  <c r="K18" i="1" s="1"/>
  <c r="Z17" i="1"/>
  <c r="AE17" i="1" s="1"/>
  <c r="Y17" i="1"/>
  <c r="X17" i="1"/>
  <c r="D38" i="1" s="1"/>
  <c r="C17" i="1"/>
  <c r="O35" i="1" s="1"/>
  <c r="X16" i="1"/>
  <c r="Y16" i="1" s="1"/>
  <c r="O16" i="1"/>
  <c r="M16" i="1"/>
  <c r="C16" i="1"/>
  <c r="Z15" i="1"/>
  <c r="Y15" i="1"/>
  <c r="X15" i="1"/>
  <c r="M15" i="1"/>
  <c r="L15" i="1"/>
  <c r="I15" i="1"/>
  <c r="H15" i="1"/>
  <c r="C15" i="1"/>
  <c r="K15" i="1" s="1"/>
  <c r="X14" i="1"/>
  <c r="Z14" i="1" s="1"/>
  <c r="C14" i="1"/>
  <c r="Z13" i="1"/>
  <c r="X13" i="1"/>
  <c r="Y13" i="1" s="1"/>
  <c r="C13" i="1"/>
  <c r="X12" i="1"/>
  <c r="Z12" i="1" s="1"/>
  <c r="AE12" i="1" s="1"/>
  <c r="C12" i="1"/>
  <c r="Y11" i="1"/>
  <c r="X11" i="1"/>
  <c r="C11" i="1"/>
  <c r="Z11" i="1" s="1"/>
  <c r="X10" i="1"/>
  <c r="Z10" i="1" s="1"/>
  <c r="C10" i="1"/>
  <c r="X9" i="1"/>
  <c r="Z9" i="1" s="1"/>
  <c r="C9" i="1"/>
  <c r="AA8" i="1"/>
  <c r="AA9" i="1" s="1"/>
  <c r="AA10" i="1" s="1"/>
  <c r="AA11" i="1" s="1"/>
  <c r="AA12" i="1" s="1"/>
  <c r="AA13" i="1" s="1"/>
  <c r="AA14" i="1" s="1"/>
  <c r="AA15" i="1" s="1"/>
  <c r="AA16" i="1" s="1"/>
  <c r="Z8" i="1"/>
  <c r="AE8" i="1" s="1"/>
  <c r="Y8" i="1"/>
  <c r="X8" i="1"/>
  <c r="C8" i="1"/>
  <c r="AD7" i="1"/>
  <c r="AD8" i="1" s="1"/>
  <c r="AD9" i="1" s="1"/>
  <c r="AD10" i="1" s="1"/>
  <c r="AD11" i="1" s="1"/>
  <c r="AD12" i="1" s="1"/>
  <c r="AD13" i="1" s="1"/>
  <c r="AD14" i="1" s="1"/>
  <c r="AD15" i="1" s="1"/>
  <c r="AD16" i="1" s="1"/>
  <c r="AA7" i="1"/>
  <c r="Y7" i="1"/>
  <c r="X7" i="1"/>
  <c r="O7" i="1"/>
  <c r="O8" i="1" s="1"/>
  <c r="O9" i="1" s="1"/>
  <c r="O10" i="1" s="1"/>
  <c r="O11" i="1" s="1"/>
  <c r="O12" i="1" s="1"/>
  <c r="O13" i="1" s="1"/>
  <c r="O14" i="1" s="1"/>
  <c r="O15" i="1" s="1"/>
  <c r="M7" i="1"/>
  <c r="M8" i="1" s="1"/>
  <c r="M9" i="1" s="1"/>
  <c r="M10" i="1" s="1"/>
  <c r="M11" i="1" s="1"/>
  <c r="M12" i="1" s="1"/>
  <c r="M13" i="1" s="1"/>
  <c r="M14" i="1" s="1"/>
  <c r="L7" i="1"/>
  <c r="L16" i="1" s="1"/>
  <c r="K16" i="1" s="1"/>
  <c r="K7" i="1"/>
  <c r="J7" i="1"/>
  <c r="J8" i="1" s="1"/>
  <c r="J9" i="1" s="1"/>
  <c r="J10" i="1" s="1"/>
  <c r="J11" i="1" s="1"/>
  <c r="J12" i="1" s="1"/>
  <c r="J13" i="1" s="1"/>
  <c r="J14" i="1" s="1"/>
  <c r="J15" i="1" s="1"/>
  <c r="J16" i="1" s="1"/>
  <c r="I7" i="1"/>
  <c r="I16" i="1" s="1"/>
  <c r="H7" i="1"/>
  <c r="H16" i="1" s="1"/>
  <c r="C7" i="1"/>
  <c r="Z7" i="1" s="1"/>
  <c r="AE7" i="1" s="1"/>
  <c r="X6" i="1"/>
  <c r="B6" i="1"/>
  <c r="D27" i="1" s="1"/>
  <c r="H38" i="1" l="1"/>
  <c r="H41" i="1" s="1"/>
  <c r="D41" i="1"/>
  <c r="AE13" i="1"/>
  <c r="AE21" i="1"/>
  <c r="AE9" i="1"/>
  <c r="AE24" i="1"/>
  <c r="AE14" i="1"/>
  <c r="AE15" i="1"/>
  <c r="AE10" i="1"/>
  <c r="Z6" i="1"/>
  <c r="AE6" i="1" s="1"/>
  <c r="AE11" i="1"/>
  <c r="H8" i="1"/>
  <c r="H9" i="1" s="1"/>
  <c r="H10" i="1" s="1"/>
  <c r="H11" i="1" s="1"/>
  <c r="H12" i="1" s="1"/>
  <c r="H13" i="1" s="1"/>
  <c r="H14" i="1" s="1"/>
  <c r="Y9" i="1"/>
  <c r="Z16" i="1"/>
  <c r="AE16" i="1" s="1"/>
  <c r="Y19" i="1"/>
  <c r="Z22" i="1"/>
  <c r="AE22" i="1" s="1"/>
  <c r="X25" i="1"/>
  <c r="C6" i="1"/>
  <c r="I8" i="1"/>
  <c r="I9" i="1" s="1"/>
  <c r="I10" i="1" s="1"/>
  <c r="I11" i="1" s="1"/>
  <c r="I12" i="1" s="1"/>
  <c r="I13" i="1" s="1"/>
  <c r="I14" i="1" s="1"/>
  <c r="Z19" i="1"/>
  <c r="AE19" i="1" s="1"/>
  <c r="X32" i="1"/>
  <c r="X33" i="1" s="1"/>
  <c r="Y12" i="1"/>
  <c r="Y10" i="1"/>
  <c r="Y6" i="1"/>
  <c r="L8" i="1"/>
  <c r="Y14" i="1"/>
  <c r="Y20" i="1"/>
  <c r="K17" i="1"/>
  <c r="Y24" i="1"/>
  <c r="C25" i="1" l="1"/>
  <c r="O36" i="1"/>
  <c r="D28" i="1"/>
  <c r="K6" i="1"/>
  <c r="X40" i="1"/>
  <c r="X42" i="1" s="1"/>
  <c r="X26" i="1"/>
  <c r="Y26" i="1" s="1"/>
  <c r="Y25" i="1"/>
  <c r="O32" i="1"/>
  <c r="O34" i="1" s="1"/>
  <c r="G29" i="1" s="1"/>
  <c r="L9" i="1"/>
  <c r="K8" i="1"/>
  <c r="L10" i="1" l="1"/>
  <c r="K9" i="1"/>
  <c r="L11" i="1" l="1"/>
  <c r="K10" i="1"/>
  <c r="L12" i="1" l="1"/>
  <c r="K11" i="1"/>
  <c r="L13" i="1" l="1"/>
  <c r="K12" i="1"/>
  <c r="K13" i="1" l="1"/>
  <c r="L14" i="1"/>
  <c r="K14" i="1" s="1"/>
  <c r="D34" i="1" l="1"/>
  <c r="K25" i="1"/>
  <c r="D26" i="1" s="1"/>
  <c r="D31" i="1" s="1"/>
</calcChain>
</file>

<file path=xl/sharedStrings.xml><?xml version="1.0" encoding="utf-8"?>
<sst xmlns="http://schemas.openxmlformats.org/spreadsheetml/2006/main" count="113" uniqueCount="98">
  <si>
    <t>LAPORAN HARIAN PRODUKSI TELUR</t>
  </si>
  <si>
    <t>YUKI FARM</t>
  </si>
  <si>
    <t>Hari/Tanggal : KAMIS, 3 SEPTEMBER 2026</t>
  </si>
  <si>
    <t>ROSAM</t>
  </si>
  <si>
    <t>Nama</t>
  </si>
  <si>
    <t>Kapasitas</t>
  </si>
  <si>
    <t>JUMLAH AYAM</t>
  </si>
  <si>
    <t>UMUR</t>
  </si>
  <si>
    <t xml:space="preserve">                                                </t>
  </si>
  <si>
    <t>Berat badan</t>
  </si>
  <si>
    <t>PRODUKSI TELUR</t>
  </si>
  <si>
    <t>PERLAKUAN</t>
  </si>
  <si>
    <t>Hidup</t>
  </si>
  <si>
    <t>MATI</t>
  </si>
  <si>
    <t>Afkir</t>
  </si>
  <si>
    <t>MASUK</t>
  </si>
  <si>
    <t>Mgg</t>
  </si>
  <si>
    <t>Bln</t>
  </si>
  <si>
    <t>Jenis</t>
  </si>
  <si>
    <t>Ttl/Kd(kg)ekr/gr</t>
  </si>
  <si>
    <t>Ekor/Gr</t>
  </si>
  <si>
    <t>Stdr/Ekor (Gr)</t>
  </si>
  <si>
    <t>Stdr/Gr</t>
  </si>
  <si>
    <t>Pagi</t>
  </si>
  <si>
    <t>sore</t>
  </si>
  <si>
    <t>btr</t>
  </si>
  <si>
    <t>Rtk. Kuku</t>
  </si>
  <si>
    <t>Putih dan kotor</t>
  </si>
  <si>
    <t>K</t>
  </si>
  <si>
    <t>R</t>
  </si>
  <si>
    <t>L</t>
  </si>
  <si>
    <t>TOTAL</t>
  </si>
  <si>
    <t>Ket</t>
  </si>
  <si>
    <t>ACT%</t>
  </si>
  <si>
    <t>STDR</t>
  </si>
  <si>
    <t>OBAT/ VAKSIN</t>
  </si>
  <si>
    <t>JUMlAH/ kd/Gr</t>
  </si>
  <si>
    <t>1KY/RISKI (NOVOGEN)</t>
  </si>
  <si>
    <t xml:space="preserve">LAYER </t>
  </si>
  <si>
    <t>121-129</t>
  </si>
  <si>
    <t>KAMIS</t>
  </si>
  <si>
    <t>2/RISKI (NOVOGEN)</t>
  </si>
  <si>
    <t>3/RISKI (NOVOGEN)</t>
  </si>
  <si>
    <t>4/UJANG (NOVOGEN)</t>
  </si>
  <si>
    <t>5/AFRIZAL (NOVOGEN)</t>
  </si>
  <si>
    <t>6/AFRIZAL (NOVOGEN)</t>
  </si>
  <si>
    <t>7/AFRIZAL (NOVOGEN)</t>
  </si>
  <si>
    <t>8/AFRIZAL (NOVOGEN)</t>
  </si>
  <si>
    <t>9/UJANG (NOVOGEN)</t>
  </si>
  <si>
    <t>10/UJANG (NOVOGEN)</t>
  </si>
  <si>
    <t>11/RISKI (NOVOGEN)</t>
  </si>
  <si>
    <t>1kwt/ SYAFRIZAL (NOVOGEN)</t>
  </si>
  <si>
    <t>SPESIAL</t>
  </si>
  <si>
    <t>SENIN</t>
  </si>
  <si>
    <t>NOVOGEN</t>
  </si>
  <si>
    <t>2/ SYAFRIZAL (NOVOGEN)</t>
  </si>
  <si>
    <t>3a/ SYAFRIZAL (NOVOGEN)</t>
  </si>
  <si>
    <t>4/ SUANDI (NOVOGEN)</t>
  </si>
  <si>
    <t>5a/ SUANDI (NOVOGEN)</t>
  </si>
  <si>
    <t>6/ SUANDI (NOVOGEN)</t>
  </si>
  <si>
    <t>7/ SUANDI (NOVOGEN)</t>
  </si>
  <si>
    <t>8A/ SYAFRIZAL (NOVOGEN)</t>
  </si>
  <si>
    <t>Total</t>
  </si>
  <si>
    <t>butir</t>
  </si>
  <si>
    <t>Total Makanan</t>
  </si>
  <si>
    <t>ikat</t>
  </si>
  <si>
    <t>Total ayam full</t>
  </si>
  <si>
    <t>Total ayam</t>
  </si>
  <si>
    <t>Persen global(Ayam Keseluruhan)</t>
  </si>
  <si>
    <t>persen global(Ayam Produksi &gt; 50%)</t>
  </si>
  <si>
    <t xml:space="preserve">  </t>
  </si>
  <si>
    <t>Total Makanan ;</t>
  </si>
  <si>
    <t>Jumlah Ayam Induk(Umur &gt;15 bulan) :</t>
  </si>
  <si>
    <t>Jumlah telur Ayam &gt;50 %</t>
  </si>
  <si>
    <t>induk</t>
  </si>
  <si>
    <t>Jumlah Ayam gadis(Umur 5-15 bulan) :</t>
  </si>
  <si>
    <t>Jumlah telur Ayam &lt;50 %</t>
  </si>
  <si>
    <t>GROWER</t>
  </si>
  <si>
    <t>Jumlah Ayam Anak(Umur &lt; 5 bulan)   :</t>
  </si>
  <si>
    <t>DIKETAHUI PENGAWAS KANDANG</t>
  </si>
  <si>
    <t>layer</t>
  </si>
  <si>
    <t>Jumlah Ayam Keseluruhan :</t>
  </si>
  <si>
    <t xml:space="preserve">Produksi telur kecil </t>
  </si>
  <si>
    <t>Jumlah Ayam bertelur &gt;50% :</t>
  </si>
  <si>
    <r>
      <rPr>
        <b/>
        <sz val="14"/>
        <rFont val="Times New Roman"/>
        <family val="1"/>
      </rPr>
      <t xml:space="preserve">Jumlah Ayam bertelur </t>
    </r>
    <r>
      <rPr>
        <b/>
        <sz val="14"/>
        <rFont val="Calibri"/>
        <family val="2"/>
      </rPr>
      <t>&lt;</t>
    </r>
    <r>
      <rPr>
        <b/>
        <sz val="9"/>
        <rFont val="Times New Roman"/>
        <family val="1"/>
      </rPr>
      <t xml:space="preserve"> </t>
    </r>
    <r>
      <rPr>
        <b/>
        <sz val="14"/>
        <rFont val="Times New Roman"/>
        <family val="1"/>
      </rPr>
      <t>50% :</t>
    </r>
  </si>
  <si>
    <t>Telur ayam GADIS</t>
  </si>
  <si>
    <t>NAIK</t>
  </si>
  <si>
    <t>Dari kemarin</t>
  </si>
  <si>
    <t>DANIL AGUS MUSLIM</t>
  </si>
  <si>
    <t>Telur Ayam ANAK :</t>
  </si>
  <si>
    <t>Jumlah ayam pakan G. spesial</t>
  </si>
  <si>
    <t>Produksi global :</t>
  </si>
  <si>
    <t>Jumlah ayam grower ANAK</t>
  </si>
  <si>
    <t>Total Ayam Mati  :</t>
  </si>
  <si>
    <t>Ayam ND :</t>
  </si>
  <si>
    <t>Ayam Afkir :</t>
  </si>
  <si>
    <t>ekor</t>
  </si>
  <si>
    <t>NB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</si>
</sst>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;@"/>
    <numFmt numFmtId="165" formatCode="_(&quot;Rp&quot;* #,##0_);_(&quot;Rp&quot;* \(#,##0\);_(&quot;Rp&quot;* &quot;-&quot;_);_(@_)"/>
    <numFmt numFmtId="166" formatCode="_(* #,##0_);_(* \(#,##0\);_(* &quot;-&quot;_);_(@_)"/>
    <numFmt numFmtId="167" formatCode="#,##0.0"/>
  </numFmts>
  <fonts count="2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4"/>
      <name val="Times New Roman"/>
      <family val="1"/>
    </font>
    <font>
      <b/>
      <sz val="11"/>
      <name val="Calibri"/>
      <family val="2"/>
    </font>
    <font>
      <sz val="11"/>
      <name val="Calibri"/>
      <family val="2"/>
    </font>
    <font>
      <b/>
      <sz val="11"/>
      <name val="Times New Roman"/>
      <family val="1"/>
    </font>
    <font>
      <b/>
      <i/>
      <sz val="16"/>
      <name val="Times New Roman"/>
      <family val="1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b/>
      <sz val="8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Calibri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2"/>
      <name val="Calibri"/>
      <family val="2"/>
    </font>
    <font>
      <b/>
      <sz val="9"/>
      <name val="Times New Roman"/>
      <family val="1"/>
    </font>
    <font>
      <b/>
      <sz val="16"/>
      <name val="Times New Roman"/>
      <family val="1"/>
    </font>
    <font>
      <b/>
      <sz val="16"/>
      <name val="Calibri"/>
      <family val="2"/>
    </font>
    <font>
      <b/>
      <sz val="22"/>
      <name val="Calibri"/>
      <family val="2"/>
    </font>
    <font>
      <b/>
      <sz val="26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8CDA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BEEF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F253F"/>
      </bottom>
      <diagonal/>
    </border>
    <border>
      <left style="thin">
        <color rgb="FF0F253F"/>
      </left>
      <right style="thin">
        <color rgb="FF0F253F"/>
      </right>
      <top style="thin">
        <color rgb="FF0F253F"/>
      </top>
      <bottom/>
      <diagonal/>
    </border>
    <border>
      <left style="thin">
        <color rgb="FF0F253F"/>
      </left>
      <right/>
      <top style="thin">
        <color rgb="FF0F253F"/>
      </top>
      <bottom style="thin">
        <color rgb="FF0F253F"/>
      </bottom>
      <diagonal/>
    </border>
    <border>
      <left/>
      <right/>
      <top style="thin">
        <color rgb="FF0F253F"/>
      </top>
      <bottom style="thin">
        <color rgb="FF0F253F"/>
      </bottom>
      <diagonal/>
    </border>
    <border>
      <left/>
      <right style="thin">
        <color rgb="FF0F253F"/>
      </right>
      <top style="thin">
        <color rgb="FF0F253F"/>
      </top>
      <bottom style="thin">
        <color rgb="FF0F253F"/>
      </bottom>
      <diagonal/>
    </border>
    <border>
      <left/>
      <right style="thin">
        <color indexed="64"/>
      </right>
      <top style="thin">
        <color rgb="FF0F253F"/>
      </top>
      <bottom style="thin">
        <color rgb="FF0F25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F253F"/>
      </top>
      <bottom style="thin">
        <color rgb="FF0F253F"/>
      </bottom>
      <diagonal/>
    </border>
    <border>
      <left style="thin">
        <color rgb="FF0F253F"/>
      </left>
      <right style="thin">
        <color rgb="FF0F253F"/>
      </right>
      <top/>
      <bottom style="thin">
        <color rgb="FF0F253F"/>
      </bottom>
      <diagonal/>
    </border>
    <border>
      <left style="thin">
        <color rgb="FF0F253F"/>
      </left>
      <right style="thin">
        <color rgb="FF0F253F"/>
      </right>
      <top style="thin">
        <color rgb="FF0F253F"/>
      </top>
      <bottom style="thin">
        <color rgb="FF0F253F"/>
      </bottom>
      <diagonal/>
    </border>
    <border>
      <left style="thin">
        <color rgb="FF0F253F"/>
      </left>
      <right style="thin">
        <color rgb="FF0F253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F253F"/>
      </left>
      <right style="thin">
        <color indexed="64"/>
      </right>
      <top style="thin">
        <color rgb="FF0F253F"/>
      </top>
      <bottom/>
      <diagonal/>
    </border>
    <border>
      <left style="thin">
        <color rgb="FF0F253F"/>
      </left>
      <right/>
      <top/>
      <bottom style="thin">
        <color rgb="FF0F253F"/>
      </bottom>
      <diagonal/>
    </border>
    <border>
      <left/>
      <right style="thin">
        <color rgb="FF0F253F"/>
      </right>
      <top/>
      <bottom style="thin">
        <color rgb="FF0F253F"/>
      </bottom>
      <diagonal/>
    </border>
    <border>
      <left style="thin">
        <color rgb="FF0F253F"/>
      </left>
      <right/>
      <top style="thin">
        <color rgb="FF0F253F"/>
      </top>
      <bottom/>
      <diagonal/>
    </border>
    <border>
      <left/>
      <right style="thin">
        <color rgb="FF0F253F"/>
      </right>
      <top style="thin">
        <color rgb="FF0F253F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>
      <protection locked="0"/>
    </xf>
    <xf numFmtId="0" fontId="4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65" fontId="1" fillId="0" borderId="0">
      <protection locked="0"/>
    </xf>
    <xf numFmtId="166" fontId="1" fillId="0" borderId="0">
      <protection locked="0"/>
    </xf>
  </cellStyleXfs>
  <cellXfs count="260">
    <xf numFmtId="0" fontId="0" fillId="0" borderId="0" xfId="0"/>
    <xf numFmtId="0" fontId="2" fillId="2" borderId="0" xfId="1" applyFont="1" applyFill="1" applyAlignment="1" applyProtection="1">
      <alignment horizontal="center" vertical="center"/>
    </xf>
    <xf numFmtId="0" fontId="3" fillId="0" borderId="0" xfId="1" applyFont="1" applyProtection="1"/>
    <xf numFmtId="0" fontId="5" fillId="0" borderId="0" xfId="2" applyFont="1" applyProtection="1"/>
    <xf numFmtId="0" fontId="3" fillId="0" borderId="0" xfId="2" applyFont="1" applyProtection="1"/>
    <xf numFmtId="0" fontId="6" fillId="0" borderId="0" xfId="1" applyFont="1" applyAlignment="1" applyProtection="1">
      <alignment horizontal="center" vertical="center"/>
    </xf>
    <xf numFmtId="0" fontId="5" fillId="0" borderId="0" xfId="2" applyFont="1" applyAlignment="1" applyProtection="1">
      <alignment vertical="center"/>
    </xf>
    <xf numFmtId="0" fontId="7" fillId="0" borderId="1" xfId="2" applyFont="1" applyBorder="1" applyAlignment="1" applyProtection="1">
      <alignment horizontal="left" vertical="center"/>
    </xf>
    <xf numFmtId="0" fontId="7" fillId="0" borderId="1" xfId="2" applyFont="1" applyBorder="1" applyProtection="1"/>
    <xf numFmtId="0" fontId="7" fillId="0" borderId="1" xfId="2" applyFont="1" applyBorder="1" applyAlignment="1" applyProtection="1">
      <alignment horizontal="center"/>
    </xf>
    <xf numFmtId="0" fontId="8" fillId="0" borderId="1" xfId="2" applyFont="1" applyBorder="1" applyProtection="1"/>
    <xf numFmtId="3" fontId="5" fillId="0" borderId="0" xfId="2" applyNumberFormat="1" applyFont="1" applyAlignment="1" applyProtection="1">
      <alignment horizontal="left"/>
    </xf>
    <xf numFmtId="3" fontId="9" fillId="2" borderId="0" xfId="2" applyNumberFormat="1" applyFont="1" applyFill="1" applyAlignment="1" applyProtection="1">
      <alignment horizontal="left"/>
    </xf>
    <xf numFmtId="0" fontId="10" fillId="0" borderId="0" xfId="2" applyFont="1" applyAlignment="1" applyProtection="1">
      <alignment horizontal="left"/>
    </xf>
    <xf numFmtId="0" fontId="5" fillId="0" borderId="0" xfId="2" applyFont="1" applyAlignment="1" applyProtection="1">
      <alignment horizontal="left"/>
    </xf>
    <xf numFmtId="0" fontId="5" fillId="0" borderId="0" xfId="2" applyFont="1" applyAlignment="1" applyProtection="1">
      <alignment horizontal="left" vertical="center"/>
    </xf>
    <xf numFmtId="0" fontId="5" fillId="0" borderId="2" xfId="1" applyFont="1" applyBorder="1" applyAlignment="1" applyProtection="1">
      <alignment horizontal="center" vertical="center" wrapText="1"/>
    </xf>
    <xf numFmtId="3" fontId="3" fillId="0" borderId="2" xfId="1" applyNumberFormat="1" applyFont="1" applyBorder="1" applyAlignment="1" applyProtection="1">
      <alignment horizontal="center" vertical="center" wrapText="1"/>
    </xf>
    <xf numFmtId="3" fontId="5" fillId="0" borderId="3" xfId="1" applyNumberFormat="1" applyFont="1" applyBorder="1" applyAlignment="1" applyProtection="1">
      <alignment horizontal="center" vertical="center" wrapText="1"/>
    </xf>
    <xf numFmtId="3" fontId="5" fillId="0" borderId="4" xfId="1" applyNumberFormat="1" applyFont="1" applyBorder="1" applyAlignment="1" applyProtection="1">
      <alignment horizontal="center" vertical="center" wrapText="1"/>
    </xf>
    <xf numFmtId="3" fontId="5" fillId="0" borderId="5" xfId="1" applyNumberFormat="1" applyFont="1" applyBorder="1" applyAlignment="1" applyProtection="1">
      <alignment horizontal="center" vertical="center" wrapText="1"/>
    </xf>
    <xf numFmtId="0" fontId="5" fillId="0" borderId="3" xfId="1" applyFont="1" applyBorder="1" applyAlignment="1" applyProtection="1">
      <alignment horizontal="center" vertical="center" wrapText="1"/>
    </xf>
    <xf numFmtId="0" fontId="5" fillId="0" borderId="4" xfId="1" applyFont="1" applyBorder="1" applyAlignment="1" applyProtection="1">
      <alignment horizontal="center" vertical="center" wrapText="1"/>
    </xf>
    <xf numFmtId="0" fontId="5" fillId="0" borderId="5" xfId="1" applyFont="1" applyBorder="1" applyAlignment="1" applyProtection="1">
      <alignment horizontal="center" vertical="center" wrapText="1"/>
    </xf>
    <xf numFmtId="3" fontId="5" fillId="0" borderId="6" xfId="1" applyNumberFormat="1" applyFont="1" applyBorder="1" applyAlignment="1" applyProtection="1">
      <alignment horizontal="center" vertical="center" wrapText="1"/>
    </xf>
    <xf numFmtId="0" fontId="5" fillId="0" borderId="7" xfId="1" applyFont="1" applyBorder="1" applyAlignment="1" applyProtection="1">
      <alignment horizontal="center" vertical="center" wrapText="1"/>
    </xf>
    <xf numFmtId="0" fontId="5" fillId="0" borderId="8" xfId="1" applyFont="1" applyBorder="1" applyAlignment="1" applyProtection="1">
      <alignment horizontal="center" vertical="center" wrapText="1"/>
    </xf>
    <xf numFmtId="0" fontId="5" fillId="0" borderId="9" xfId="1" applyFont="1" applyBorder="1" applyAlignment="1" applyProtection="1">
      <alignment horizontal="center" vertical="center" wrapText="1"/>
    </xf>
    <xf numFmtId="0" fontId="5" fillId="0" borderId="10" xfId="1" applyFont="1" applyBorder="1" applyAlignment="1" applyProtection="1">
      <alignment horizontal="center" vertical="center" wrapText="1"/>
    </xf>
    <xf numFmtId="0" fontId="5" fillId="0" borderId="11" xfId="1" applyFont="1" applyBorder="1" applyAlignment="1" applyProtection="1">
      <alignment horizontal="center" vertical="center" wrapText="1"/>
    </xf>
    <xf numFmtId="3" fontId="3" fillId="0" borderId="11" xfId="1" applyNumberFormat="1" applyFont="1" applyBorder="1" applyAlignment="1" applyProtection="1">
      <alignment horizontal="center" vertical="center" wrapText="1"/>
    </xf>
    <xf numFmtId="3" fontId="8" fillId="0" borderId="2" xfId="1" applyNumberFormat="1" applyFont="1" applyBorder="1" applyAlignment="1" applyProtection="1">
      <alignment horizontal="center" vertical="center" wrapText="1"/>
    </xf>
    <xf numFmtId="3" fontId="8" fillId="0" borderId="12" xfId="1" applyNumberFormat="1" applyFont="1" applyBorder="1" applyAlignment="1" applyProtection="1">
      <alignment horizontal="center" vertical="center" wrapText="1"/>
    </xf>
    <xf numFmtId="164" fontId="5" fillId="0" borderId="12" xfId="1" applyNumberFormat="1" applyFont="1" applyBorder="1" applyAlignment="1" applyProtection="1">
      <alignment horizontal="center" vertical="center" wrapText="1"/>
    </xf>
    <xf numFmtId="0" fontId="5" fillId="0" borderId="12" xfId="1" applyFont="1" applyBorder="1" applyAlignment="1" applyProtection="1">
      <alignment horizontal="center" vertical="center" wrapText="1"/>
    </xf>
    <xf numFmtId="3" fontId="8" fillId="0" borderId="12" xfId="2" applyNumberFormat="1" applyFont="1" applyBorder="1" applyAlignment="1" applyProtection="1">
      <alignment vertical="center" wrapText="1"/>
    </xf>
    <xf numFmtId="3" fontId="5" fillId="0" borderId="12" xfId="1" applyNumberFormat="1" applyFont="1" applyBorder="1" applyAlignment="1" applyProtection="1">
      <alignment horizontal="center" vertical="center" wrapText="1"/>
    </xf>
    <xf numFmtId="3" fontId="5" fillId="0" borderId="11" xfId="1" applyNumberFormat="1" applyFont="1" applyBorder="1" applyAlignment="1" applyProtection="1">
      <alignment horizontal="center" vertical="center" wrapText="1"/>
    </xf>
    <xf numFmtId="3" fontId="5" fillId="3" borderId="11" xfId="2" applyNumberFormat="1" applyFont="1" applyFill="1" applyBorder="1" applyAlignment="1" applyProtection="1">
      <alignment horizontal="center" vertical="center" wrapText="1"/>
    </xf>
    <xf numFmtId="3" fontId="8" fillId="0" borderId="11" xfId="1" applyNumberFormat="1" applyFont="1" applyBorder="1" applyAlignment="1" applyProtection="1">
      <alignment horizontal="center" vertical="center" wrapText="1"/>
    </xf>
    <xf numFmtId="0" fontId="5" fillId="0" borderId="11" xfId="1" applyFont="1" applyBorder="1" applyAlignment="1" applyProtection="1">
      <alignment horizontal="center" vertical="center" wrapText="1"/>
    </xf>
    <xf numFmtId="4" fontId="5" fillId="0" borderId="13" xfId="1" applyNumberFormat="1" applyFont="1" applyBorder="1" applyAlignment="1" applyProtection="1">
      <alignment horizontal="center" vertical="center" wrapText="1"/>
    </xf>
    <xf numFmtId="0" fontId="8" fillId="0" borderId="13" xfId="1" applyFont="1" applyBorder="1" applyAlignment="1" applyProtection="1">
      <alignment horizontal="center" vertical="center" wrapText="1"/>
    </xf>
    <xf numFmtId="0" fontId="8" fillId="0" borderId="12" xfId="1" applyFont="1" applyBorder="1" applyAlignment="1" applyProtection="1">
      <alignment horizontal="center" vertical="center" wrapText="1"/>
    </xf>
    <xf numFmtId="0" fontId="8" fillId="0" borderId="2" xfId="1" applyFont="1" applyBorder="1" applyAlignment="1" applyProtection="1">
      <alignment horizontal="center" vertical="center" wrapText="1"/>
    </xf>
    <xf numFmtId="0" fontId="1" fillId="0" borderId="0" xfId="3" applyProtection="1"/>
    <xf numFmtId="0" fontId="10" fillId="0" borderId="12" xfId="1" applyFont="1" applyBorder="1" applyAlignment="1" applyProtection="1">
      <alignment horizontal="center" vertical="center" wrapText="1"/>
    </xf>
    <xf numFmtId="3" fontId="10" fillId="0" borderId="3" xfId="2" applyNumberFormat="1" applyFont="1" applyBorder="1" applyAlignment="1" applyProtection="1">
      <alignment horizontal="center" vertical="center"/>
    </xf>
    <xf numFmtId="3" fontId="10" fillId="4" borderId="14" xfId="2" applyNumberFormat="1" applyFont="1" applyFill="1" applyBorder="1" applyAlignment="1" applyProtection="1">
      <alignment horizontal="center" vertical="center"/>
    </xf>
    <xf numFmtId="3" fontId="10" fillId="0" borderId="14" xfId="2" applyNumberFormat="1" applyFont="1" applyBorder="1" applyAlignment="1" applyProtection="1">
      <alignment horizontal="center" vertical="center"/>
    </xf>
    <xf numFmtId="0" fontId="10" fillId="0" borderId="5" xfId="2" applyFont="1" applyBorder="1" applyAlignment="1" applyProtection="1">
      <alignment vertical="center"/>
    </xf>
    <xf numFmtId="14" fontId="10" fillId="0" borderId="12" xfId="2" applyNumberFormat="1" applyFont="1" applyBorder="1" applyAlignment="1" applyProtection="1">
      <alignment horizontal="center" vertical="center"/>
    </xf>
    <xf numFmtId="0" fontId="10" fillId="0" borderId="12" xfId="2" applyFont="1" applyBorder="1" applyAlignment="1" applyProtection="1">
      <alignment horizontal="center" vertical="center"/>
    </xf>
    <xf numFmtId="0" fontId="11" fillId="4" borderId="12" xfId="2" applyFont="1" applyFill="1" applyBorder="1" applyAlignment="1" applyProtection="1">
      <alignment horizontal="center" vertical="center"/>
    </xf>
    <xf numFmtId="1" fontId="10" fillId="3" borderId="12" xfId="2" applyNumberFormat="1" applyFont="1" applyFill="1" applyBorder="1" applyAlignment="1" applyProtection="1">
      <alignment horizontal="center" vertical="center"/>
    </xf>
    <xf numFmtId="3" fontId="10" fillId="0" borderId="12" xfId="2" applyNumberFormat="1" applyFont="1" applyBorder="1" applyAlignment="1" applyProtection="1">
      <alignment horizontal="center" vertical="center"/>
    </xf>
    <xf numFmtId="1" fontId="10" fillId="0" borderId="12" xfId="2" applyNumberFormat="1" applyFont="1" applyBorder="1" applyAlignment="1" applyProtection="1">
      <alignment horizontal="center" vertical="center"/>
    </xf>
    <xf numFmtId="0" fontId="10" fillId="4" borderId="12" xfId="2" applyFont="1" applyFill="1" applyBorder="1" applyAlignment="1" applyProtection="1">
      <alignment horizontal="center" vertical="center"/>
    </xf>
    <xf numFmtId="3" fontId="10" fillId="4" borderId="12" xfId="1" applyNumberFormat="1" applyFont="1" applyFill="1" applyBorder="1" applyAlignment="1" applyProtection="1">
      <alignment horizontal="center" vertical="center"/>
    </xf>
    <xf numFmtId="3" fontId="10" fillId="0" borderId="3" xfId="1" applyNumberFormat="1" applyFont="1" applyBorder="1" applyAlignment="1" applyProtection="1">
      <alignment horizontal="center" vertical="center"/>
    </xf>
    <xf numFmtId="2" fontId="10" fillId="4" borderId="14" xfId="2" applyNumberFormat="1" applyFont="1" applyFill="1" applyBorder="1" applyAlignment="1" applyProtection="1">
      <alignment horizontal="center" vertical="center"/>
    </xf>
    <xf numFmtId="2" fontId="10" fillId="0" borderId="14" xfId="1" applyNumberFormat="1" applyFont="1" applyBorder="1" applyAlignment="1" applyProtection="1">
      <alignment horizontal="center" vertical="center"/>
    </xf>
    <xf numFmtId="0" fontId="12" fillId="0" borderId="4" xfId="4" applyFont="1" applyBorder="1" applyAlignment="1" applyProtection="1">
      <alignment horizontal="center" vertical="center"/>
    </xf>
    <xf numFmtId="0" fontId="5" fillId="0" borderId="14" xfId="2" applyFont="1" applyBorder="1" applyAlignment="1" applyProtection="1">
      <alignment horizontal="center"/>
    </xf>
    <xf numFmtId="0" fontId="13" fillId="5" borderId="0" xfId="1" applyFont="1" applyFill="1" applyProtection="1"/>
    <xf numFmtId="2" fontId="13" fillId="0" borderId="0" xfId="1" applyNumberFormat="1" applyFont="1" applyProtection="1"/>
    <xf numFmtId="2" fontId="10" fillId="0" borderId="12" xfId="2" applyNumberFormat="1" applyFont="1" applyBorder="1" applyAlignment="1" applyProtection="1">
      <alignment horizontal="center" vertical="center"/>
    </xf>
    <xf numFmtId="2" fontId="5" fillId="0" borderId="14" xfId="2" applyNumberFormat="1" applyFont="1" applyBorder="1" applyAlignment="1" applyProtection="1">
      <alignment horizontal="center"/>
    </xf>
    <xf numFmtId="2" fontId="13" fillId="3" borderId="0" xfId="1" applyNumberFormat="1" applyFont="1" applyFill="1" applyProtection="1"/>
    <xf numFmtId="3" fontId="10" fillId="4" borderId="3" xfId="2" applyNumberFormat="1" applyFont="1" applyFill="1" applyBorder="1" applyAlignment="1" applyProtection="1">
      <alignment horizontal="center" vertical="center"/>
    </xf>
    <xf numFmtId="165" fontId="3" fillId="0" borderId="0" xfId="5" applyFont="1" applyProtection="1"/>
    <xf numFmtId="3" fontId="10" fillId="6" borderId="14" xfId="2" applyNumberFormat="1" applyFont="1" applyFill="1" applyBorder="1" applyAlignment="1" applyProtection="1">
      <alignment horizontal="center" vertical="center"/>
    </xf>
    <xf numFmtId="3" fontId="2" fillId="3" borderId="14" xfId="2" applyNumberFormat="1" applyFont="1" applyFill="1" applyBorder="1" applyAlignment="1" applyProtection="1">
      <alignment horizontal="center" vertical="center"/>
    </xf>
    <xf numFmtId="0" fontId="10" fillId="6" borderId="12" xfId="2" applyFont="1" applyFill="1" applyBorder="1" applyAlignment="1" applyProtection="1">
      <alignment horizontal="center" vertical="center"/>
    </xf>
    <xf numFmtId="3" fontId="10" fillId="6" borderId="12" xfId="4" applyNumberFormat="1" applyFont="1" applyFill="1" applyBorder="1" applyAlignment="1" applyProtection="1">
      <alignment horizontal="center" vertical="center"/>
    </xf>
    <xf numFmtId="3" fontId="10" fillId="6" borderId="12" xfId="1" applyNumberFormat="1" applyFont="1" applyFill="1" applyBorder="1" applyAlignment="1" applyProtection="1">
      <alignment horizontal="center" vertical="center"/>
    </xf>
    <xf numFmtId="2" fontId="10" fillId="6" borderId="14" xfId="2" applyNumberFormat="1" applyFont="1" applyFill="1" applyBorder="1" applyAlignment="1" applyProtection="1">
      <alignment horizontal="center" vertical="center"/>
    </xf>
    <xf numFmtId="2" fontId="10" fillId="3" borderId="14" xfId="4" applyNumberFormat="1" applyFont="1" applyFill="1" applyBorder="1" applyAlignment="1" applyProtection="1">
      <alignment horizontal="center" vertical="center"/>
    </xf>
    <xf numFmtId="2" fontId="14" fillId="0" borderId="14" xfId="2" applyNumberFormat="1" applyFont="1" applyBorder="1" applyProtection="1"/>
    <xf numFmtId="0" fontId="13" fillId="6" borderId="0" xfId="1" applyFont="1" applyFill="1" applyProtection="1"/>
    <xf numFmtId="165" fontId="3" fillId="0" borderId="0" xfId="2" applyNumberFormat="1" applyFont="1" applyProtection="1"/>
    <xf numFmtId="3" fontId="10" fillId="0" borderId="15" xfId="2" applyNumberFormat="1" applyFont="1" applyBorder="1" applyAlignment="1" applyProtection="1">
      <alignment horizontal="center" vertical="center"/>
    </xf>
    <xf numFmtId="3" fontId="10" fillId="6" borderId="12" xfId="2" applyNumberFormat="1" applyFont="1" applyFill="1" applyBorder="1" applyAlignment="1" applyProtection="1">
      <alignment horizontal="center" vertical="center"/>
    </xf>
    <xf numFmtId="2" fontId="14" fillId="0" borderId="14" xfId="2" applyNumberFormat="1" applyFont="1" applyBorder="1" applyAlignment="1" applyProtection="1">
      <alignment vertical="center"/>
    </xf>
    <xf numFmtId="2" fontId="13" fillId="3" borderId="0" xfId="1" applyNumberFormat="1" applyFont="1" applyFill="1" applyAlignment="1" applyProtection="1">
      <alignment vertical="center"/>
    </xf>
    <xf numFmtId="0" fontId="3" fillId="0" borderId="0" xfId="2" applyFont="1" applyAlignment="1" applyProtection="1">
      <alignment vertical="center"/>
    </xf>
    <xf numFmtId="0" fontId="15" fillId="0" borderId="12" xfId="1" applyFont="1" applyBorder="1" applyProtection="1"/>
    <xf numFmtId="3" fontId="15" fillId="0" borderId="12" xfId="1" applyNumberFormat="1" applyFont="1" applyBorder="1" applyProtection="1"/>
    <xf numFmtId="3" fontId="13" fillId="3" borderId="14" xfId="2" applyNumberFormat="1" applyFont="1" applyFill="1" applyBorder="1" applyAlignment="1" applyProtection="1">
      <alignment horizontal="center" vertical="center"/>
    </xf>
    <xf numFmtId="3" fontId="12" fillId="0" borderId="0" xfId="2" applyNumberFormat="1" applyFont="1" applyProtection="1"/>
    <xf numFmtId="3" fontId="15" fillId="0" borderId="0" xfId="2" applyNumberFormat="1" applyFont="1" applyProtection="1"/>
    <xf numFmtId="3" fontId="9" fillId="3" borderId="12" xfId="1" applyNumberFormat="1" applyFont="1" applyFill="1" applyBorder="1" applyProtection="1"/>
    <xf numFmtId="164" fontId="13" fillId="3" borderId="12" xfId="1" applyNumberFormat="1" applyFont="1" applyFill="1" applyBorder="1" applyProtection="1"/>
    <xf numFmtId="0" fontId="13" fillId="3" borderId="12" xfId="1" applyFont="1" applyFill="1" applyBorder="1" applyAlignment="1" applyProtection="1">
      <alignment horizontal="center" vertical="center"/>
    </xf>
    <xf numFmtId="3" fontId="13" fillId="3" borderId="3" xfId="1" applyNumberFormat="1" applyFont="1" applyFill="1" applyBorder="1" applyProtection="1"/>
    <xf numFmtId="0" fontId="13" fillId="0" borderId="12" xfId="2" applyFont="1" applyBorder="1" applyAlignment="1" applyProtection="1">
      <alignment horizontal="center" vertical="center"/>
    </xf>
    <xf numFmtId="3" fontId="13" fillId="3" borderId="12" xfId="1" applyNumberFormat="1" applyFont="1" applyFill="1" applyBorder="1" applyProtection="1"/>
    <xf numFmtId="0" fontId="10" fillId="3" borderId="12" xfId="1" applyFont="1" applyFill="1" applyBorder="1" applyProtection="1"/>
    <xf numFmtId="3" fontId="5" fillId="3" borderId="12" xfId="1" applyNumberFormat="1" applyFont="1" applyFill="1" applyBorder="1" applyProtection="1"/>
    <xf numFmtId="3" fontId="5" fillId="0" borderId="2" xfId="1" applyNumberFormat="1" applyFont="1" applyBorder="1" applyProtection="1"/>
    <xf numFmtId="3" fontId="5" fillId="3" borderId="16" xfId="1" applyNumberFormat="1" applyFont="1" applyFill="1" applyBorder="1" applyProtection="1"/>
    <xf numFmtId="2" fontId="5" fillId="3" borderId="17" xfId="2" applyNumberFormat="1" applyFont="1" applyFill="1" applyBorder="1" applyProtection="1"/>
    <xf numFmtId="2" fontId="12" fillId="3" borderId="4" xfId="4" applyNumberFormat="1" applyFont="1" applyFill="1" applyBorder="1" applyAlignment="1" applyProtection="1">
      <alignment horizontal="center" vertical="center"/>
    </xf>
    <xf numFmtId="1" fontId="14" fillId="3" borderId="14" xfId="1" applyNumberFormat="1" applyFont="1" applyFill="1" applyBorder="1" applyAlignment="1" applyProtection="1">
      <alignment horizontal="center" vertical="center"/>
    </xf>
    <xf numFmtId="1" fontId="14" fillId="3" borderId="0" xfId="1" applyNumberFormat="1" applyFont="1" applyFill="1" applyAlignment="1" applyProtection="1">
      <alignment horizontal="center" vertical="center"/>
    </xf>
    <xf numFmtId="0" fontId="5" fillId="3" borderId="0" xfId="2" applyFont="1" applyFill="1" applyProtection="1"/>
    <xf numFmtId="0" fontId="13" fillId="3" borderId="12" xfId="1" applyFont="1" applyFill="1" applyBorder="1" applyProtection="1"/>
    <xf numFmtId="3" fontId="13" fillId="3" borderId="12" xfId="1" applyNumberFormat="1" applyFont="1" applyFill="1" applyBorder="1" applyAlignment="1" applyProtection="1">
      <alignment horizontal="center"/>
    </xf>
    <xf numFmtId="3" fontId="13" fillId="0" borderId="3" xfId="1" applyNumberFormat="1" applyFont="1" applyBorder="1" applyAlignment="1" applyProtection="1">
      <alignment horizontal="center"/>
    </xf>
    <xf numFmtId="3" fontId="13" fillId="0" borderId="5" xfId="1" applyNumberFormat="1" applyFont="1" applyBorder="1" applyAlignment="1" applyProtection="1">
      <alignment horizontal="center"/>
    </xf>
    <xf numFmtId="3" fontId="14" fillId="0" borderId="12" xfId="1" applyNumberFormat="1" applyFont="1" applyBorder="1" applyAlignment="1" applyProtection="1">
      <alignment horizontal="center"/>
    </xf>
    <xf numFmtId="3" fontId="5" fillId="0" borderId="12" xfId="1" applyNumberFormat="1" applyFont="1" applyBorder="1" applyProtection="1"/>
    <xf numFmtId="0" fontId="5" fillId="0" borderId="12" xfId="1" applyFont="1" applyBorder="1" applyAlignment="1" applyProtection="1">
      <alignment horizontal="center" vertical="center"/>
    </xf>
    <xf numFmtId="0" fontId="5" fillId="0" borderId="12" xfId="1" applyFont="1" applyBorder="1" applyProtection="1"/>
    <xf numFmtId="3" fontId="9" fillId="2" borderId="12" xfId="2" applyNumberFormat="1" applyFont="1" applyFill="1" applyBorder="1" applyAlignment="1" applyProtection="1">
      <alignment horizontal="center"/>
    </xf>
    <xf numFmtId="0" fontId="10" fillId="0" borderId="12" xfId="1" applyFont="1" applyBorder="1" applyProtection="1"/>
    <xf numFmtId="4" fontId="5" fillId="0" borderId="3" xfId="1" applyNumberFormat="1" applyFont="1" applyBorder="1" applyProtection="1"/>
    <xf numFmtId="0" fontId="5" fillId="0" borderId="14" xfId="1" applyFont="1" applyBorder="1" applyProtection="1"/>
    <xf numFmtId="3" fontId="5" fillId="0" borderId="5" xfId="1" applyNumberFormat="1" applyFont="1" applyBorder="1" applyProtection="1"/>
    <xf numFmtId="2" fontId="5" fillId="3" borderId="3" xfId="2" applyNumberFormat="1" applyFont="1" applyFill="1" applyBorder="1" applyAlignment="1" applyProtection="1">
      <alignment horizontal="center"/>
    </xf>
    <xf numFmtId="2" fontId="5" fillId="3" borderId="5" xfId="2" applyNumberFormat="1" applyFont="1" applyFill="1" applyBorder="1" applyAlignment="1" applyProtection="1">
      <alignment horizontal="center"/>
    </xf>
    <xf numFmtId="0" fontId="3" fillId="0" borderId="14" xfId="1" applyFont="1" applyBorder="1" applyProtection="1"/>
    <xf numFmtId="3" fontId="3" fillId="0" borderId="0" xfId="1" applyNumberFormat="1" applyFont="1" applyProtection="1"/>
    <xf numFmtId="0" fontId="13" fillId="0" borderId="2" xfId="1" applyFont="1" applyBorder="1" applyProtection="1"/>
    <xf numFmtId="3" fontId="13" fillId="3" borderId="2" xfId="1" applyNumberFormat="1" applyFont="1" applyFill="1" applyBorder="1" applyAlignment="1" applyProtection="1">
      <alignment horizontal="center"/>
    </xf>
    <xf numFmtId="3" fontId="13" fillId="0" borderId="18" xfId="1" applyNumberFormat="1" applyFont="1" applyBorder="1" applyAlignment="1" applyProtection="1">
      <alignment horizontal="center"/>
    </xf>
    <xf numFmtId="3" fontId="13" fillId="0" borderId="19" xfId="1" applyNumberFormat="1" applyFont="1" applyBorder="1" applyAlignment="1" applyProtection="1">
      <alignment horizontal="center"/>
    </xf>
    <xf numFmtId="3" fontId="14" fillId="0" borderId="2" xfId="1" applyNumberFormat="1" applyFont="1" applyBorder="1" applyAlignment="1" applyProtection="1">
      <alignment horizontal="center"/>
    </xf>
    <xf numFmtId="164" fontId="5" fillId="0" borderId="2" xfId="1" applyNumberFormat="1" applyFont="1" applyBorder="1" applyProtection="1"/>
    <xf numFmtId="0" fontId="5" fillId="0" borderId="2" xfId="1" applyFont="1" applyBorder="1" applyAlignment="1" applyProtection="1">
      <alignment horizontal="center" vertical="center"/>
    </xf>
    <xf numFmtId="0" fontId="5" fillId="0" borderId="2" xfId="1" applyFont="1" applyBorder="1" applyProtection="1"/>
    <xf numFmtId="0" fontId="10" fillId="0" borderId="2" xfId="1" applyFont="1" applyBorder="1" applyProtection="1"/>
    <xf numFmtId="0" fontId="5" fillId="0" borderId="13" xfId="1" applyFont="1" applyBorder="1" applyProtection="1"/>
    <xf numFmtId="4" fontId="5" fillId="0" borderId="13" xfId="1" applyNumberFormat="1" applyFont="1" applyBorder="1" applyAlignment="1" applyProtection="1">
      <alignment horizontal="center" vertical="center"/>
    </xf>
    <xf numFmtId="3" fontId="13" fillId="0" borderId="2" xfId="1" applyNumberFormat="1" applyFont="1" applyBorder="1" applyProtection="1"/>
    <xf numFmtId="2" fontId="5" fillId="3" borderId="18" xfId="2" applyNumberFormat="1" applyFont="1" applyFill="1" applyBorder="1" applyAlignment="1" applyProtection="1">
      <alignment horizontal="center"/>
    </xf>
    <xf numFmtId="2" fontId="5" fillId="3" borderId="19" xfId="2" applyNumberFormat="1" applyFont="1" applyFill="1" applyBorder="1" applyAlignment="1" applyProtection="1">
      <alignment horizontal="center"/>
    </xf>
    <xf numFmtId="0" fontId="5" fillId="0" borderId="20" xfId="1" applyFont="1" applyBorder="1" applyProtection="1"/>
    <xf numFmtId="0" fontId="5" fillId="0" borderId="21" xfId="1" applyFont="1" applyBorder="1" applyProtection="1"/>
    <xf numFmtId="3" fontId="5" fillId="0" borderId="0" xfId="1" applyNumberFormat="1" applyFont="1" applyProtection="1"/>
    <xf numFmtId="0" fontId="15" fillId="0" borderId="14" xfId="1" applyFont="1" applyBorder="1" applyAlignment="1" applyProtection="1">
      <alignment horizontal="left"/>
    </xf>
    <xf numFmtId="3" fontId="13" fillId="0" borderId="14" xfId="1" applyNumberFormat="1" applyFont="1" applyBorder="1" applyAlignment="1" applyProtection="1">
      <alignment horizontal="center"/>
    </xf>
    <xf numFmtId="3" fontId="14" fillId="0" borderId="14" xfId="1" applyNumberFormat="1" applyFont="1" applyBorder="1" applyAlignment="1" applyProtection="1">
      <alignment horizontal="center"/>
    </xf>
    <xf numFmtId="164" fontId="5" fillId="0" borderId="14" xfId="1" applyNumberFormat="1" applyFont="1" applyBorder="1" applyProtection="1"/>
    <xf numFmtId="0" fontId="5" fillId="0" borderId="14" xfId="1" applyFont="1" applyBorder="1" applyAlignment="1" applyProtection="1">
      <alignment horizontal="center" vertical="center"/>
    </xf>
    <xf numFmtId="3" fontId="5" fillId="0" borderId="14" xfId="1" applyNumberFormat="1" applyFont="1" applyBorder="1" applyProtection="1"/>
    <xf numFmtId="0" fontId="10" fillId="0" borderId="14" xfId="1" applyFont="1" applyBorder="1" applyProtection="1"/>
    <xf numFmtId="4" fontId="5" fillId="0" borderId="14" xfId="1" applyNumberFormat="1" applyFont="1" applyBorder="1" applyAlignment="1" applyProtection="1">
      <alignment horizontal="center" vertical="center"/>
    </xf>
    <xf numFmtId="3" fontId="9" fillId="0" borderId="14" xfId="1" applyNumberFormat="1" applyFont="1" applyBorder="1" applyProtection="1"/>
    <xf numFmtId="0" fontId="9" fillId="0" borderId="14" xfId="1" applyFont="1" applyBorder="1" applyAlignment="1" applyProtection="1">
      <alignment horizontal="center"/>
    </xf>
    <xf numFmtId="0" fontId="13" fillId="0" borderId="14" xfId="1" applyFont="1" applyBorder="1" applyProtection="1"/>
    <xf numFmtId="3" fontId="13" fillId="0" borderId="14" xfId="1" applyNumberFormat="1" applyFont="1" applyBorder="1" applyProtection="1"/>
    <xf numFmtId="3" fontId="10" fillId="0" borderId="14" xfId="1" applyNumberFormat="1" applyFont="1" applyBorder="1" applyProtection="1"/>
    <xf numFmtId="4" fontId="5" fillId="0" borderId="14" xfId="1" applyNumberFormat="1" applyFont="1" applyBorder="1" applyProtection="1"/>
    <xf numFmtId="0" fontId="5" fillId="2" borderId="14" xfId="1" applyFont="1" applyFill="1" applyBorder="1" applyAlignment="1" applyProtection="1">
      <alignment horizontal="center" vertical="center"/>
    </xf>
    <xf numFmtId="0" fontId="5" fillId="2" borderId="14" xfId="1" applyFont="1" applyFill="1" applyBorder="1" applyProtection="1"/>
    <xf numFmtId="3" fontId="5" fillId="2" borderId="14" xfId="1" applyNumberFormat="1" applyFont="1" applyFill="1" applyBorder="1" applyProtection="1"/>
    <xf numFmtId="0" fontId="5" fillId="0" borderId="14" xfId="1" applyFont="1" applyBorder="1" applyAlignment="1" applyProtection="1">
      <alignment horizontal="center"/>
    </xf>
    <xf numFmtId="0" fontId="10" fillId="0" borderId="14" xfId="1" applyFont="1" applyBorder="1" applyProtection="1"/>
    <xf numFmtId="2" fontId="10" fillId="0" borderId="14" xfId="1" applyNumberFormat="1" applyFont="1" applyBorder="1" applyProtection="1"/>
    <xf numFmtId="0" fontId="10" fillId="2" borderId="14" xfId="1" applyFont="1" applyFill="1" applyBorder="1" applyAlignment="1" applyProtection="1">
      <alignment horizontal="center" vertical="center"/>
    </xf>
    <xf numFmtId="0" fontId="10" fillId="2" borderId="14" xfId="1" applyFont="1" applyFill="1" applyBorder="1" applyProtection="1"/>
    <xf numFmtId="3" fontId="10" fillId="2" borderId="14" xfId="1" applyNumberFormat="1" applyFont="1" applyFill="1" applyBorder="1" applyProtection="1"/>
    <xf numFmtId="3" fontId="12" fillId="0" borderId="14" xfId="1" applyNumberFormat="1" applyFont="1" applyBorder="1" applyProtection="1"/>
    <xf numFmtId="4" fontId="10" fillId="0" borderId="14" xfId="1" applyNumberFormat="1" applyFont="1" applyBorder="1" applyAlignment="1" applyProtection="1">
      <alignment horizontal="center" vertical="center"/>
    </xf>
    <xf numFmtId="0" fontId="10" fillId="0" borderId="14" xfId="1" applyFont="1" applyBorder="1" applyAlignment="1" applyProtection="1">
      <alignment horizontal="center"/>
    </xf>
    <xf numFmtId="0" fontId="5" fillId="0" borderId="0" xfId="1" applyFont="1" applyProtection="1"/>
    <xf numFmtId="0" fontId="10" fillId="3" borderId="0" xfId="1" applyFont="1" applyFill="1" applyAlignment="1" applyProtection="1">
      <alignment horizontal="center"/>
    </xf>
    <xf numFmtId="3" fontId="10" fillId="3" borderId="0" xfId="1" applyNumberFormat="1" applyFont="1" applyFill="1" applyAlignment="1" applyProtection="1">
      <alignment horizontal="center"/>
    </xf>
    <xf numFmtId="3" fontId="10" fillId="3" borderId="0" xfId="1" applyNumberFormat="1" applyFont="1" applyFill="1" applyAlignment="1" applyProtection="1">
      <alignment horizontal="center"/>
    </xf>
    <xf numFmtId="0" fontId="10" fillId="7" borderId="0" xfId="1" applyFont="1" applyFill="1" applyAlignment="1" applyProtection="1">
      <alignment horizontal="left" vertical="center"/>
    </xf>
    <xf numFmtId="3" fontId="10" fillId="7" borderId="0" xfId="1" applyNumberFormat="1" applyFont="1" applyFill="1" applyAlignment="1" applyProtection="1">
      <alignment horizontal="left"/>
    </xf>
    <xf numFmtId="3" fontId="10" fillId="2" borderId="0" xfId="1" applyNumberFormat="1" applyFont="1" applyFill="1" applyProtection="1"/>
    <xf numFmtId="3" fontId="10" fillId="2" borderId="0" xfId="1" applyNumberFormat="1" applyFont="1" applyFill="1" applyAlignment="1" applyProtection="1">
      <alignment horizontal="center"/>
    </xf>
    <xf numFmtId="0" fontId="10" fillId="2" borderId="0" xfId="1" applyFont="1" applyFill="1" applyAlignment="1" applyProtection="1">
      <alignment horizontal="center"/>
    </xf>
    <xf numFmtId="3" fontId="10" fillId="0" borderId="0" xfId="1" applyNumberFormat="1" applyFont="1" applyAlignment="1" applyProtection="1">
      <alignment horizontal="center"/>
    </xf>
    <xf numFmtId="0" fontId="12" fillId="0" borderId="0" xfId="1" applyFont="1" applyProtection="1"/>
    <xf numFmtId="0" fontId="10" fillId="8" borderId="0" xfId="1" applyFont="1" applyFill="1" applyAlignment="1" applyProtection="1">
      <alignment horizontal="left"/>
    </xf>
    <xf numFmtId="0" fontId="10" fillId="6" borderId="0" xfId="1" applyFont="1" applyFill="1" applyAlignment="1" applyProtection="1">
      <alignment vertical="center"/>
    </xf>
    <xf numFmtId="0" fontId="10" fillId="6" borderId="0" xfId="1" applyFont="1" applyFill="1" applyAlignment="1" applyProtection="1">
      <alignment horizontal="left"/>
    </xf>
    <xf numFmtId="3" fontId="10" fillId="2" borderId="0" xfId="1" applyNumberFormat="1" applyFont="1" applyFill="1" applyAlignment="1" applyProtection="1">
      <alignment horizontal="left"/>
    </xf>
    <xf numFmtId="0" fontId="10" fillId="0" borderId="0" xfId="1" applyFont="1" applyAlignment="1" applyProtection="1">
      <alignment horizontal="left"/>
    </xf>
    <xf numFmtId="3" fontId="12" fillId="3" borderId="0" xfId="1" applyNumberFormat="1" applyFont="1" applyFill="1" applyAlignment="1" applyProtection="1">
      <alignment horizontal="center"/>
    </xf>
    <xf numFmtId="3" fontId="12" fillId="3" borderId="0" xfId="1" applyNumberFormat="1" applyFont="1" applyFill="1" applyProtection="1"/>
    <xf numFmtId="0" fontId="10" fillId="2" borderId="0" xfId="1" applyFont="1" applyFill="1" applyAlignment="1" applyProtection="1">
      <alignment vertical="center"/>
    </xf>
    <xf numFmtId="0" fontId="10" fillId="2" borderId="0" xfId="1" applyFont="1" applyFill="1" applyAlignment="1" applyProtection="1">
      <alignment horizontal="left"/>
    </xf>
    <xf numFmtId="3" fontId="12" fillId="0" borderId="0" xfId="1" applyNumberFormat="1" applyFont="1" applyProtection="1"/>
    <xf numFmtId="3" fontId="12" fillId="0" borderId="0" xfId="1" applyNumberFormat="1" applyFont="1" applyAlignment="1" applyProtection="1">
      <alignment horizontal="center" vertical="center"/>
    </xf>
    <xf numFmtId="0" fontId="15" fillId="0" borderId="0" xfId="1" applyFont="1" applyAlignment="1" applyProtection="1">
      <alignment horizontal="center"/>
    </xf>
    <xf numFmtId="0" fontId="10" fillId="9" borderId="0" xfId="1" applyFont="1" applyFill="1" applyAlignment="1" applyProtection="1">
      <alignment horizontal="left"/>
    </xf>
    <xf numFmtId="0" fontId="10" fillId="2" borderId="0" xfId="1" applyFont="1" applyFill="1" applyAlignment="1" applyProtection="1">
      <alignment horizontal="left" vertical="center"/>
    </xf>
    <xf numFmtId="3" fontId="12" fillId="10" borderId="0" xfId="1" applyNumberFormat="1" applyFont="1" applyFill="1" applyAlignment="1" applyProtection="1">
      <alignment horizontal="center"/>
    </xf>
    <xf numFmtId="0" fontId="10" fillId="11" borderId="0" xfId="1" applyFont="1" applyFill="1" applyAlignment="1" applyProtection="1">
      <alignment horizontal="left"/>
    </xf>
    <xf numFmtId="0" fontId="10" fillId="3" borderId="0" xfId="1" applyFont="1" applyFill="1" applyAlignment="1" applyProtection="1">
      <alignment horizontal="left" vertical="center"/>
    </xf>
    <xf numFmtId="3" fontId="10" fillId="3" borderId="0" xfId="1" applyNumberFormat="1" applyFont="1" applyFill="1" applyAlignment="1" applyProtection="1">
      <alignment horizontal="left"/>
    </xf>
    <xf numFmtId="0" fontId="10" fillId="3" borderId="0" xfId="1" applyFont="1" applyFill="1" applyAlignment="1" applyProtection="1">
      <alignment horizontal="left"/>
    </xf>
    <xf numFmtId="3" fontId="10" fillId="3" borderId="0" xfId="1" applyNumberFormat="1" applyFont="1" applyFill="1" applyAlignment="1" applyProtection="1">
      <alignment horizontal="left"/>
    </xf>
    <xf numFmtId="4" fontId="12" fillId="0" borderId="0" xfId="1" applyNumberFormat="1" applyFont="1" applyAlignment="1" applyProtection="1">
      <alignment horizontal="center" vertical="center"/>
    </xf>
    <xf numFmtId="0" fontId="10" fillId="11" borderId="0" xfId="1" applyFont="1" applyFill="1" applyAlignment="1" applyProtection="1">
      <alignment horizontal="left"/>
    </xf>
    <xf numFmtId="0" fontId="10" fillId="3" borderId="0" xfId="1" applyFont="1" applyFill="1" applyAlignment="1" applyProtection="1">
      <alignment horizontal="left" vertical="center"/>
    </xf>
    <xf numFmtId="0" fontId="10" fillId="6" borderId="0" xfId="1" applyFont="1" applyFill="1" applyAlignment="1" applyProtection="1">
      <alignment horizontal="left"/>
    </xf>
    <xf numFmtId="3" fontId="10" fillId="6" borderId="0" xfId="1" applyNumberFormat="1" applyFont="1" applyFill="1" applyAlignment="1" applyProtection="1">
      <alignment horizontal="center" vertical="center"/>
    </xf>
    <xf numFmtId="164" fontId="11" fillId="6" borderId="0" xfId="1" applyNumberFormat="1" applyFont="1" applyFill="1" applyProtection="1"/>
    <xf numFmtId="3" fontId="11" fillId="6" borderId="0" xfId="1" applyNumberFormat="1" applyFont="1" applyFill="1" applyAlignment="1" applyProtection="1">
      <alignment horizontal="center"/>
    </xf>
    <xf numFmtId="3" fontId="10" fillId="3" borderId="0" xfId="1" applyNumberFormat="1" applyFont="1" applyFill="1" applyProtection="1"/>
    <xf numFmtId="3" fontId="10" fillId="0" borderId="0" xfId="1" applyNumberFormat="1" applyFont="1" applyProtection="1"/>
    <xf numFmtId="0" fontId="10" fillId="8" borderId="0" xfId="1" applyFont="1" applyFill="1" applyProtection="1"/>
    <xf numFmtId="0" fontId="12" fillId="8" borderId="0" xfId="2" applyFont="1" applyFill="1" applyProtection="1"/>
    <xf numFmtId="0" fontId="5" fillId="2" borderId="0" xfId="1" applyFont="1" applyFill="1" applyProtection="1"/>
    <xf numFmtId="3" fontId="11" fillId="0" borderId="0" xfId="1" applyNumberFormat="1" applyFont="1" applyAlignment="1" applyProtection="1">
      <alignment horizontal="center"/>
    </xf>
    <xf numFmtId="164" fontId="11" fillId="0" borderId="0" xfId="1" applyNumberFormat="1" applyFont="1" applyProtection="1"/>
    <xf numFmtId="0" fontId="8" fillId="3" borderId="0" xfId="2" applyFont="1" applyFill="1" applyAlignment="1" applyProtection="1">
      <alignment vertical="center"/>
    </xf>
    <xf numFmtId="0" fontId="10" fillId="6" borderId="0" xfId="2" applyFont="1" applyFill="1" applyAlignment="1" applyProtection="1">
      <alignment horizontal="left"/>
    </xf>
    <xf numFmtId="3" fontId="10" fillId="6" borderId="0" xfId="2" applyNumberFormat="1" applyFont="1" applyFill="1" applyAlignment="1" applyProtection="1">
      <alignment horizontal="center"/>
    </xf>
    <xf numFmtId="1" fontId="3" fillId="3" borderId="0" xfId="2" applyNumberFormat="1" applyFont="1" applyFill="1" applyProtection="1"/>
    <xf numFmtId="3" fontId="10" fillId="8" borderId="0" xfId="1" applyNumberFormat="1" applyFont="1" applyFill="1" applyAlignment="1" applyProtection="1">
      <alignment horizontal="center"/>
    </xf>
    <xf numFmtId="164" fontId="11" fillId="8" borderId="0" xfId="1" applyNumberFormat="1" applyFont="1" applyFill="1" applyProtection="1"/>
    <xf numFmtId="0" fontId="10" fillId="0" borderId="0" xfId="2" applyFont="1" applyAlignment="1" applyProtection="1">
      <alignment horizontal="left"/>
    </xf>
    <xf numFmtId="3" fontId="10" fillId="0" borderId="0" xfId="1" applyNumberFormat="1" applyFont="1" applyAlignment="1" applyProtection="1">
      <alignment horizontal="center" vertical="center"/>
    </xf>
    <xf numFmtId="0" fontId="10" fillId="12" borderId="0" xfId="1" applyFont="1" applyFill="1" applyAlignment="1" applyProtection="1">
      <alignment horizontal="left"/>
    </xf>
    <xf numFmtId="3" fontId="10" fillId="12" borderId="0" xfId="1" applyNumberFormat="1" applyFont="1" applyFill="1" applyAlignment="1" applyProtection="1">
      <alignment horizontal="center"/>
    </xf>
    <xf numFmtId="0" fontId="10" fillId="3" borderId="0" xfId="1" applyFont="1" applyFill="1" applyAlignment="1" applyProtection="1">
      <alignment horizontal="center" vertical="center"/>
    </xf>
    <xf numFmtId="0" fontId="10" fillId="3" borderId="0" xfId="1" applyFont="1" applyFill="1" applyProtection="1"/>
    <xf numFmtId="3" fontId="10" fillId="6" borderId="0" xfId="1" applyNumberFormat="1" applyFont="1" applyFill="1" applyAlignment="1" applyProtection="1">
      <alignment horizontal="center"/>
    </xf>
    <xf numFmtId="0" fontId="10" fillId="12" borderId="0" xfId="1" applyFont="1" applyFill="1" applyAlignment="1" applyProtection="1">
      <alignment horizontal="center"/>
    </xf>
    <xf numFmtId="3" fontId="10" fillId="3" borderId="0" xfId="2" applyNumberFormat="1" applyFont="1" applyFill="1" applyProtection="1"/>
    <xf numFmtId="0" fontId="12" fillId="3" borderId="0" xfId="1" applyFont="1" applyFill="1" applyProtection="1"/>
    <xf numFmtId="4" fontId="12" fillId="3" borderId="0" xfId="1" applyNumberFormat="1" applyFont="1" applyFill="1" applyAlignment="1" applyProtection="1">
      <alignment horizontal="center" vertical="center"/>
    </xf>
    <xf numFmtId="0" fontId="3" fillId="3" borderId="0" xfId="1" applyFont="1" applyFill="1" applyProtection="1"/>
    <xf numFmtId="0" fontId="5" fillId="2" borderId="0" xfId="1" applyFont="1" applyFill="1" applyAlignment="1" applyProtection="1">
      <alignment vertical="center"/>
    </xf>
    <xf numFmtId="0" fontId="10" fillId="12" borderId="0" xfId="1" applyFont="1" applyFill="1" applyAlignment="1" applyProtection="1">
      <alignment horizontal="left"/>
    </xf>
    <xf numFmtId="3" fontId="10" fillId="8" borderId="0" xfId="2" applyNumberFormat="1" applyFont="1" applyFill="1" applyProtection="1"/>
    <xf numFmtId="3" fontId="12" fillId="8" borderId="0" xfId="1" applyNumberFormat="1" applyFont="1" applyFill="1" applyProtection="1"/>
    <xf numFmtId="0" fontId="12" fillId="8" borderId="0" xfId="1" applyFont="1" applyFill="1" applyProtection="1"/>
    <xf numFmtId="4" fontId="12" fillId="8" borderId="0" xfId="1" applyNumberFormat="1" applyFont="1" applyFill="1" applyAlignment="1" applyProtection="1">
      <alignment horizontal="center" vertical="center"/>
    </xf>
    <xf numFmtId="0" fontId="3" fillId="8" borderId="0" xfId="1" applyFont="1" applyFill="1" applyProtection="1"/>
    <xf numFmtId="0" fontId="10" fillId="3" borderId="0" xfId="2" applyFont="1" applyFill="1" applyProtection="1"/>
    <xf numFmtId="0" fontId="16" fillId="3" borderId="0" xfId="2" applyFont="1" applyFill="1" applyProtection="1"/>
    <xf numFmtId="0" fontId="16" fillId="8" borderId="0" xfId="2" applyFont="1" applyFill="1" applyProtection="1"/>
    <xf numFmtId="3" fontId="3" fillId="8" borderId="0" xfId="1" applyNumberFormat="1" applyFont="1" applyFill="1" applyProtection="1"/>
    <xf numFmtId="166" fontId="3" fillId="0" borderId="0" xfId="6" applyFont="1" applyProtection="1"/>
    <xf numFmtId="0" fontId="17" fillId="12" borderId="0" xfId="1" applyFont="1" applyFill="1" applyAlignment="1" applyProtection="1">
      <alignment horizontal="left"/>
    </xf>
    <xf numFmtId="3" fontId="10" fillId="12" borderId="0" xfId="1" applyNumberFormat="1" applyFont="1" applyFill="1" applyAlignment="1" applyProtection="1">
      <alignment horizontal="center"/>
    </xf>
    <xf numFmtId="3" fontId="17" fillId="12" borderId="0" xfId="1" applyNumberFormat="1" applyFont="1" applyFill="1" applyAlignment="1" applyProtection="1">
      <alignment horizontal="center"/>
    </xf>
    <xf numFmtId="0" fontId="17" fillId="12" borderId="0" xfId="1" applyFont="1" applyFill="1" applyAlignment="1" applyProtection="1">
      <alignment horizontal="center"/>
    </xf>
    <xf numFmtId="0" fontId="17" fillId="3" borderId="0" xfId="1" applyFont="1" applyFill="1" applyAlignment="1" applyProtection="1">
      <alignment horizontal="center" vertical="center"/>
    </xf>
    <xf numFmtId="0" fontId="17" fillId="3" borderId="0" xfId="1" applyFont="1" applyFill="1" applyProtection="1"/>
    <xf numFmtId="3" fontId="17" fillId="3" borderId="0" xfId="1" applyNumberFormat="1" applyFont="1" applyFill="1" applyProtection="1"/>
    <xf numFmtId="0" fontId="17" fillId="3" borderId="0" xfId="2" applyFont="1" applyFill="1" applyProtection="1"/>
    <xf numFmtId="3" fontId="18" fillId="3" borderId="0" xfId="1" applyNumberFormat="1" applyFont="1" applyFill="1" applyProtection="1"/>
    <xf numFmtId="0" fontId="18" fillId="3" borderId="0" xfId="1" applyFont="1" applyFill="1" applyProtection="1"/>
    <xf numFmtId="4" fontId="18" fillId="3" borderId="0" xfId="1" applyNumberFormat="1" applyFont="1" applyFill="1" applyAlignment="1" applyProtection="1">
      <alignment horizontal="center" vertical="center"/>
    </xf>
    <xf numFmtId="0" fontId="18" fillId="0" borderId="0" xfId="1" applyFont="1" applyProtection="1"/>
    <xf numFmtId="1" fontId="3" fillId="0" borderId="0" xfId="1" applyNumberFormat="1" applyFont="1" applyProtection="1"/>
    <xf numFmtId="0" fontId="3" fillId="0" borderId="0" xfId="1" applyFont="1" applyAlignment="1" applyProtection="1">
      <alignment horizontal="center" vertical="center"/>
    </xf>
    <xf numFmtId="4" fontId="3" fillId="0" borderId="0" xfId="1" applyNumberFormat="1" applyFont="1" applyAlignment="1" applyProtection="1">
      <alignment horizontal="center" vertical="center"/>
    </xf>
    <xf numFmtId="167" fontId="3" fillId="0" borderId="0" xfId="1" applyNumberFormat="1" applyFont="1" applyProtection="1"/>
    <xf numFmtId="1" fontId="19" fillId="0" borderId="0" xfId="1" applyNumberFormat="1" applyFont="1" applyProtection="1"/>
    <xf numFmtId="3" fontId="20" fillId="0" borderId="0" xfId="1" applyNumberFormat="1" applyFont="1" applyProtection="1"/>
    <xf numFmtId="164" fontId="3" fillId="0" borderId="0" xfId="1" applyNumberFormat="1" applyFont="1" applyProtection="1"/>
  </cellXfs>
  <cellStyles count="7">
    <cellStyle name="Comma [0] 2 24 2 2 2 2" xfId="6" xr:uid="{D7AE2341-72CD-4B0E-8F37-A769EE9EADD7}"/>
    <cellStyle name="Currency [0] 2 24 2 2 2 2" xfId="5" xr:uid="{D01678B2-20E6-4F5F-85A2-95FAAEBD2B79}"/>
    <cellStyle name="Normal" xfId="0" builtinId="0"/>
    <cellStyle name="Normal 2 25 2 2 2 2" xfId="1" xr:uid="{4EB856A6-8E11-499B-8326-5A1AC3AD4A1B}"/>
    <cellStyle name="Normal 2 25 2 3 2 2 2 2 2" xfId="4" xr:uid="{02A684F9-D50E-47D3-B7EA-B8682FD966AF}"/>
    <cellStyle name="Normal 25 2 2 2" xfId="2" xr:uid="{5E167ACA-7B28-4C5A-AED5-25E5C03715D6}"/>
    <cellStyle name="Normal 26 2 2" xfId="3" xr:uid="{5E46FB2B-F270-46A9-BAC9-E1F165BCDC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PH%20ROSAM%20SEPTEMBER%202026.xlsx" TargetMode="External"/><Relationship Id="rId2" Type="http://schemas.openxmlformats.org/officeDocument/2006/relationships/externalLinkPath" Target="file:///C:\Users\Chan\Downloads\LPH%20ROSAM%20SEPTEMBER%202026.xlsx" TargetMode="External"/><Relationship Id="rId1" Type="http://schemas.openxmlformats.org/officeDocument/2006/relationships/externalLinkPath" Target="/Users/Chan/Downloads/LPH%20ROSAM%20SEPTEMBE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31-8"/>
      <sheetName val="1-9"/>
      <sheetName val="2-9"/>
      <sheetName val="3-9"/>
    </sheetNames>
    <sheetDataSet>
      <sheetData sheetId="0"/>
      <sheetData sheetId="1"/>
      <sheetData sheetId="2">
        <row r="6">
          <cell r="X6">
            <v>838</v>
          </cell>
        </row>
        <row r="7">
          <cell r="X7">
            <v>1102</v>
          </cell>
        </row>
        <row r="8">
          <cell r="X8">
            <v>1046</v>
          </cell>
        </row>
        <row r="9">
          <cell r="X9">
            <v>1054</v>
          </cell>
        </row>
        <row r="10">
          <cell r="X10">
            <v>1054</v>
          </cell>
        </row>
        <row r="11">
          <cell r="X11">
            <v>977</v>
          </cell>
        </row>
        <row r="12">
          <cell r="X12">
            <v>567</v>
          </cell>
        </row>
        <row r="13">
          <cell r="X13">
            <v>938</v>
          </cell>
        </row>
        <row r="14">
          <cell r="X14">
            <v>1328</v>
          </cell>
        </row>
        <row r="15">
          <cell r="X15">
            <v>1015</v>
          </cell>
        </row>
        <row r="16">
          <cell r="X16">
            <v>530</v>
          </cell>
        </row>
        <row r="17">
          <cell r="X17">
            <v>730</v>
          </cell>
        </row>
        <row r="18">
          <cell r="X18">
            <v>886</v>
          </cell>
        </row>
        <row r="19">
          <cell r="X19">
            <v>1085</v>
          </cell>
        </row>
        <row r="20">
          <cell r="X20">
            <v>1095</v>
          </cell>
        </row>
        <row r="21">
          <cell r="X21">
            <v>1180</v>
          </cell>
        </row>
        <row r="22">
          <cell r="X22">
            <v>657</v>
          </cell>
        </row>
        <row r="23">
          <cell r="X23">
            <v>673</v>
          </cell>
        </row>
        <row r="24">
          <cell r="X24">
            <v>905</v>
          </cell>
        </row>
        <row r="25">
          <cell r="X25">
            <v>17660</v>
          </cell>
        </row>
        <row r="26">
          <cell r="X26">
            <v>58.866666666666667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2252-C644-4C71-BFAF-764B0A18AEED}">
  <sheetPr>
    <pageSetUpPr fitToPage="1"/>
  </sheetPr>
  <dimension ref="A1:AK53"/>
  <sheetViews>
    <sheetView tabSelected="1" zoomScale="50" zoomScaleNormal="50" workbookViewId="0">
      <pane xSplit="1" ySplit="5" topLeftCell="B20" activePane="bottomRight" state="frozen"/>
      <selection pane="topRight"/>
      <selection pane="bottomLeft"/>
      <selection pane="bottomRight" activeCell="Z27" sqref="Z27:AA27"/>
    </sheetView>
  </sheetViews>
  <sheetFormatPr defaultColWidth="9.109375" defaultRowHeight="18" x14ac:dyDescent="0.35"/>
  <cols>
    <col min="1" max="1" width="25.88671875" style="2" customWidth="1"/>
    <col min="2" max="3" width="13.5546875" style="122" customWidth="1"/>
    <col min="4" max="4" width="10.88671875" style="186" customWidth="1"/>
    <col min="5" max="5" width="15" style="122" customWidth="1"/>
    <col min="6" max="6" width="5.44140625" style="122" hidden="1" customWidth="1"/>
    <col min="7" max="7" width="17.109375" style="259" customWidth="1"/>
    <col min="8" max="8" width="5.5546875" style="254" customWidth="1"/>
    <col min="9" max="9" width="6.44140625" style="254" customWidth="1"/>
    <col min="10" max="10" width="32" style="2" customWidth="1"/>
    <col min="11" max="11" width="8.33203125" style="122" customWidth="1"/>
    <col min="12" max="12" width="7.5546875" style="122" customWidth="1"/>
    <col min="13" max="13" width="10.33203125" style="122" customWidth="1"/>
    <col min="14" max="14" width="8" style="176" customWidth="1"/>
    <col min="15" max="15" width="8.88671875" style="122" customWidth="1"/>
    <col min="16" max="16" width="11.44140625" style="122" customWidth="1"/>
    <col min="17" max="17" width="12.109375" style="122" customWidth="1"/>
    <col min="18" max="18" width="10.109375" style="122" customWidth="1"/>
    <col min="19" max="19" width="11.109375" style="122" customWidth="1"/>
    <col min="20" max="20" width="9.88671875" style="122" customWidth="1"/>
    <col min="21" max="22" width="8" style="122" customWidth="1"/>
    <col min="23" max="23" width="8" style="2" customWidth="1"/>
    <col min="24" max="24" width="14.44140625" style="255" customWidth="1"/>
    <col min="25" max="25" width="10" style="2" customWidth="1"/>
    <col min="26" max="26" width="10.33203125" style="2" customWidth="1"/>
    <col min="27" max="27" width="8.88671875" style="2" customWidth="1"/>
    <col min="28" max="28" width="38" style="2" customWidth="1"/>
    <col min="29" max="29" width="17" style="2" customWidth="1"/>
    <col min="30" max="30" width="12.5546875" style="2" customWidth="1"/>
    <col min="31" max="31" width="13.109375" style="2" customWidth="1"/>
    <col min="32" max="33" width="14.44140625" style="2" customWidth="1"/>
    <col min="34" max="34" width="11.109375" style="2" customWidth="1"/>
    <col min="35" max="2588" width="9.109375" style="2"/>
    <col min="2589" max="2589" width="9.33203125" style="2" customWidth="1"/>
    <col min="2590" max="2596" width="9.109375" style="2"/>
    <col min="2597" max="2597" width="9.5546875" style="2" customWidth="1"/>
    <col min="2598" max="16384" width="9.109375" style="2"/>
  </cols>
  <sheetData>
    <row r="1" spans="1:37" s="4" customForma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3"/>
    </row>
    <row r="2" spans="1:37" s="4" customFormat="1" ht="20.399999999999999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2"/>
      <c r="AE2" s="6"/>
    </row>
    <row r="3" spans="1:37" s="4" customFormat="1" ht="22.5" customHeight="1" x14ac:dyDescent="0.35">
      <c r="A3" s="7" t="s">
        <v>2</v>
      </c>
      <c r="B3" s="7"/>
      <c r="C3" s="7"/>
      <c r="D3" s="7"/>
      <c r="E3" s="7"/>
      <c r="F3" s="8"/>
      <c r="G3" s="9" t="s">
        <v>3</v>
      </c>
      <c r="H3" s="9"/>
      <c r="I3" s="9"/>
      <c r="J3" s="10"/>
      <c r="K3" s="10"/>
      <c r="L3" s="11"/>
      <c r="M3" s="12"/>
      <c r="N3" s="13"/>
      <c r="O3" s="11"/>
      <c r="P3" s="11"/>
      <c r="Q3" s="11"/>
      <c r="R3" s="11"/>
      <c r="S3" s="11"/>
      <c r="T3" s="11"/>
      <c r="U3" s="11"/>
      <c r="V3" s="11"/>
      <c r="W3" s="14"/>
      <c r="X3" s="15"/>
      <c r="Y3" s="14"/>
      <c r="Z3" s="14"/>
      <c r="AA3" s="14"/>
      <c r="AB3" s="14"/>
      <c r="AC3" s="14"/>
    </row>
    <row r="4" spans="1:37" s="4" customFormat="1" ht="21.75" customHeight="1" x14ac:dyDescent="0.3">
      <c r="A4" s="16" t="s">
        <v>4</v>
      </c>
      <c r="B4" s="17" t="s">
        <v>5</v>
      </c>
      <c r="C4" s="18" t="s">
        <v>6</v>
      </c>
      <c r="D4" s="19"/>
      <c r="E4" s="19"/>
      <c r="F4" s="20"/>
      <c r="G4" s="21" t="s">
        <v>7</v>
      </c>
      <c r="H4" s="22"/>
      <c r="I4" s="23"/>
      <c r="J4" s="21" t="s">
        <v>8</v>
      </c>
      <c r="K4" s="22"/>
      <c r="L4" s="22"/>
      <c r="M4" s="23"/>
      <c r="N4" s="18" t="s">
        <v>9</v>
      </c>
      <c r="O4" s="24"/>
      <c r="P4" s="25" t="s">
        <v>10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7"/>
      <c r="AB4" s="28" t="s">
        <v>11</v>
      </c>
      <c r="AC4" s="23"/>
      <c r="AD4" s="2"/>
      <c r="AE4" s="3"/>
    </row>
    <row r="5" spans="1:37" s="4" customFormat="1" ht="28.8" x14ac:dyDescent="0.3">
      <c r="A5" s="29"/>
      <c r="B5" s="30"/>
      <c r="C5" s="31" t="s">
        <v>12</v>
      </c>
      <c r="D5" s="31" t="s">
        <v>13</v>
      </c>
      <c r="E5" s="31" t="s">
        <v>14</v>
      </c>
      <c r="F5" s="32" t="s">
        <v>14</v>
      </c>
      <c r="G5" s="33" t="s">
        <v>15</v>
      </c>
      <c r="H5" s="34" t="s">
        <v>16</v>
      </c>
      <c r="I5" s="34" t="s">
        <v>17</v>
      </c>
      <c r="J5" s="34" t="s">
        <v>18</v>
      </c>
      <c r="K5" s="32" t="s">
        <v>19</v>
      </c>
      <c r="L5" s="32" t="s">
        <v>20</v>
      </c>
      <c r="M5" s="35" t="s">
        <v>21</v>
      </c>
      <c r="N5" s="34" t="s">
        <v>16</v>
      </c>
      <c r="O5" s="36" t="s">
        <v>22</v>
      </c>
      <c r="P5" s="37" t="s">
        <v>23</v>
      </c>
      <c r="Q5" s="37" t="s">
        <v>24</v>
      </c>
      <c r="R5" s="37" t="s">
        <v>25</v>
      </c>
      <c r="S5" s="38" t="s">
        <v>26</v>
      </c>
      <c r="T5" s="38" t="s">
        <v>27</v>
      </c>
      <c r="U5" s="37" t="s">
        <v>28</v>
      </c>
      <c r="V5" s="37" t="s">
        <v>29</v>
      </c>
      <c r="W5" s="37" t="s">
        <v>30</v>
      </c>
      <c r="X5" s="39" t="s">
        <v>31</v>
      </c>
      <c r="Y5" s="40" t="s">
        <v>32</v>
      </c>
      <c r="Z5" s="41" t="s">
        <v>33</v>
      </c>
      <c r="AA5" s="42" t="s">
        <v>34</v>
      </c>
      <c r="AB5" s="43" t="s">
        <v>35</v>
      </c>
      <c r="AC5" s="44" t="s">
        <v>36</v>
      </c>
      <c r="AD5" s="2"/>
      <c r="AE5" s="2"/>
      <c r="AI5" s="45"/>
      <c r="AJ5" s="45"/>
      <c r="AK5" s="45"/>
    </row>
    <row r="6" spans="1:37" s="4" customFormat="1" ht="46.5" customHeight="1" x14ac:dyDescent="0.3">
      <c r="A6" s="46" t="s">
        <v>37</v>
      </c>
      <c r="B6" s="47">
        <f>960-1</f>
        <v>959</v>
      </c>
      <c r="C6" s="48">
        <f>+B6-18-1</f>
        <v>940</v>
      </c>
      <c r="D6" s="47"/>
      <c r="E6" s="49"/>
      <c r="F6" s="50"/>
      <c r="G6" s="51">
        <v>46058</v>
      </c>
      <c r="H6" s="52">
        <v>31</v>
      </c>
      <c r="I6" s="52">
        <v>7</v>
      </c>
      <c r="J6" s="53" t="s">
        <v>38</v>
      </c>
      <c r="K6" s="54">
        <f t="shared" ref="K6:K24" si="0">L6*C6/1000</f>
        <v>117.5</v>
      </c>
      <c r="L6" s="52">
        <v>125</v>
      </c>
      <c r="M6" s="55" t="s">
        <v>39</v>
      </c>
      <c r="N6" s="56">
        <v>1854</v>
      </c>
      <c r="O6" s="57">
        <v>1901</v>
      </c>
      <c r="P6" s="55">
        <v>26</v>
      </c>
      <c r="Q6" s="55">
        <v>2</v>
      </c>
      <c r="R6" s="55">
        <v>1</v>
      </c>
      <c r="S6" s="55"/>
      <c r="T6" s="55"/>
      <c r="U6" s="55"/>
      <c r="V6" s="55">
        <v>5</v>
      </c>
      <c r="W6" s="52"/>
      <c r="X6" s="58">
        <f t="shared" ref="X6:X24" si="1">+(P6*30)+(Q6*30)+R6+U6+V6+W6+S6+T6</f>
        <v>846</v>
      </c>
      <c r="Y6" s="59">
        <f>+X6-'[1]2-9'!X6</f>
        <v>8</v>
      </c>
      <c r="Z6" s="60">
        <f t="shared" ref="Z6:Z24" si="2">X6/C6*100</f>
        <v>90</v>
      </c>
      <c r="AA6" s="61">
        <v>95.9</v>
      </c>
      <c r="AB6" s="62"/>
      <c r="AC6" s="63"/>
      <c r="AD6" s="64" t="s">
        <v>40</v>
      </c>
      <c r="AE6" s="65">
        <f t="shared" ref="AE6:AE24" si="3">+Z6-AA6</f>
        <v>-5.9000000000000057</v>
      </c>
      <c r="AI6" s="45"/>
      <c r="AJ6" s="45"/>
      <c r="AK6" s="45"/>
    </row>
    <row r="7" spans="1:37" s="4" customFormat="1" ht="46.5" customHeight="1" x14ac:dyDescent="0.3">
      <c r="A7" s="46" t="s">
        <v>41</v>
      </c>
      <c r="B7" s="47">
        <v>1344</v>
      </c>
      <c r="C7" s="48">
        <f>+B7-19-1-1-1-1-1-1</f>
        <v>1319</v>
      </c>
      <c r="D7" s="47"/>
      <c r="E7" s="49"/>
      <c r="F7" s="50"/>
      <c r="G7" s="51">
        <v>46058</v>
      </c>
      <c r="H7" s="52">
        <f t="shared" ref="H7:O16" si="4">+H6</f>
        <v>31</v>
      </c>
      <c r="I7" s="52">
        <f t="shared" si="4"/>
        <v>7</v>
      </c>
      <c r="J7" s="53" t="str">
        <f>+J6</f>
        <v xml:space="preserve">LAYER </v>
      </c>
      <c r="K7" s="54">
        <f>L7*C7/1000</f>
        <v>164.875</v>
      </c>
      <c r="L7" s="52">
        <f t="shared" si="4"/>
        <v>125</v>
      </c>
      <c r="M7" s="52" t="str">
        <f t="shared" si="4"/>
        <v>121-129</v>
      </c>
      <c r="N7" s="56">
        <v>1853</v>
      </c>
      <c r="O7" s="57">
        <f>+O6</f>
        <v>1901</v>
      </c>
      <c r="P7" s="55">
        <v>34</v>
      </c>
      <c r="Q7" s="55">
        <v>3</v>
      </c>
      <c r="R7" s="55"/>
      <c r="S7" s="55"/>
      <c r="T7" s="55"/>
      <c r="U7" s="55"/>
      <c r="V7" s="55">
        <v>5</v>
      </c>
      <c r="W7" s="52"/>
      <c r="X7" s="58">
        <f t="shared" si="1"/>
        <v>1115</v>
      </c>
      <c r="Y7" s="59">
        <f>+X7-'[1]2-9'!X7</f>
        <v>13</v>
      </c>
      <c r="Z7" s="60">
        <f t="shared" si="2"/>
        <v>84.533737680060653</v>
      </c>
      <c r="AA7" s="66">
        <f t="shared" ref="AA7:AA16" si="5">+AA6</f>
        <v>95.9</v>
      </c>
      <c r="AB7" s="62"/>
      <c r="AC7" s="67"/>
      <c r="AD7" s="64" t="str">
        <f t="shared" ref="AD7:AD16" si="6">+AD6</f>
        <v>KAMIS</v>
      </c>
      <c r="AE7" s="65">
        <f t="shared" si="3"/>
        <v>-11.366262319939352</v>
      </c>
      <c r="AI7" s="45"/>
      <c r="AJ7" s="45"/>
      <c r="AK7" s="45"/>
    </row>
    <row r="8" spans="1:37" s="4" customFormat="1" ht="46.5" customHeight="1" x14ac:dyDescent="0.3">
      <c r="A8" s="46" t="s">
        <v>42</v>
      </c>
      <c r="B8" s="47">
        <v>1200</v>
      </c>
      <c r="C8" s="48">
        <f>+B8-12-1-1-1</f>
        <v>1185</v>
      </c>
      <c r="D8" s="47"/>
      <c r="E8" s="49"/>
      <c r="F8" s="50"/>
      <c r="G8" s="51">
        <v>46058</v>
      </c>
      <c r="H8" s="52">
        <f t="shared" si="4"/>
        <v>31</v>
      </c>
      <c r="I8" s="52">
        <f t="shared" si="4"/>
        <v>7</v>
      </c>
      <c r="J8" s="53" t="str">
        <f t="shared" si="4"/>
        <v xml:space="preserve">LAYER </v>
      </c>
      <c r="K8" s="54">
        <f t="shared" si="0"/>
        <v>148.125</v>
      </c>
      <c r="L8" s="52">
        <f t="shared" si="4"/>
        <v>125</v>
      </c>
      <c r="M8" s="52" t="str">
        <f t="shared" si="4"/>
        <v>121-129</v>
      </c>
      <c r="N8" s="56">
        <v>1853</v>
      </c>
      <c r="O8" s="57">
        <f t="shared" si="4"/>
        <v>1901</v>
      </c>
      <c r="P8" s="55">
        <v>31</v>
      </c>
      <c r="Q8" s="55">
        <v>3</v>
      </c>
      <c r="R8" s="55">
        <v>27</v>
      </c>
      <c r="S8" s="55"/>
      <c r="T8" s="55"/>
      <c r="U8" s="55"/>
      <c r="V8" s="55">
        <v>9</v>
      </c>
      <c r="W8" s="52"/>
      <c r="X8" s="58">
        <f t="shared" si="1"/>
        <v>1056</v>
      </c>
      <c r="Y8" s="59">
        <f>+X8-'[1]2-9'!X8</f>
        <v>10</v>
      </c>
      <c r="Z8" s="60">
        <f t="shared" si="2"/>
        <v>89.113924050632903</v>
      </c>
      <c r="AA8" s="66">
        <f t="shared" si="5"/>
        <v>95.9</v>
      </c>
      <c r="AB8" s="62"/>
      <c r="AC8" s="67"/>
      <c r="AD8" s="64" t="str">
        <f t="shared" si="6"/>
        <v>KAMIS</v>
      </c>
      <c r="AE8" s="68">
        <f t="shared" si="3"/>
        <v>-6.7860759493671026</v>
      </c>
      <c r="AI8" s="45"/>
      <c r="AJ8" s="45"/>
      <c r="AK8" s="45"/>
    </row>
    <row r="9" spans="1:37" s="4" customFormat="1" ht="46.5" customHeight="1" x14ac:dyDescent="0.3">
      <c r="A9" s="46" t="s">
        <v>43</v>
      </c>
      <c r="B9" s="47">
        <v>1200</v>
      </c>
      <c r="C9" s="69">
        <f>1200-8-1-1-1-1-1-1-1-1</f>
        <v>1184</v>
      </c>
      <c r="D9" s="47"/>
      <c r="E9" s="47"/>
      <c r="F9" s="47"/>
      <c r="G9" s="51">
        <v>46058</v>
      </c>
      <c r="H9" s="52">
        <f t="shared" si="4"/>
        <v>31</v>
      </c>
      <c r="I9" s="52">
        <f t="shared" si="4"/>
        <v>7</v>
      </c>
      <c r="J9" s="53" t="str">
        <f t="shared" si="4"/>
        <v xml:space="preserve">LAYER </v>
      </c>
      <c r="K9" s="54">
        <f t="shared" si="0"/>
        <v>148</v>
      </c>
      <c r="L9" s="52">
        <f t="shared" si="4"/>
        <v>125</v>
      </c>
      <c r="M9" s="52" t="str">
        <f t="shared" si="4"/>
        <v>121-129</v>
      </c>
      <c r="N9" s="56">
        <v>1877</v>
      </c>
      <c r="O9" s="57">
        <f t="shared" si="4"/>
        <v>1901</v>
      </c>
      <c r="P9" s="47">
        <v>31</v>
      </c>
      <c r="Q9" s="47">
        <v>4</v>
      </c>
      <c r="R9" s="47">
        <v>14</v>
      </c>
      <c r="S9" s="47"/>
      <c r="T9" s="47"/>
      <c r="U9" s="47"/>
      <c r="V9" s="47">
        <v>1</v>
      </c>
      <c r="W9" s="47"/>
      <c r="X9" s="58">
        <f t="shared" si="1"/>
        <v>1065</v>
      </c>
      <c r="Y9" s="59">
        <f>+X9-'[1]2-9'!X9</f>
        <v>11</v>
      </c>
      <c r="Z9" s="60">
        <f t="shared" si="2"/>
        <v>89.949324324324323</v>
      </c>
      <c r="AA9" s="66">
        <f t="shared" si="5"/>
        <v>95.9</v>
      </c>
      <c r="AB9" s="62"/>
      <c r="AC9" s="49"/>
      <c r="AD9" s="64" t="str">
        <f t="shared" si="6"/>
        <v>KAMIS</v>
      </c>
      <c r="AE9" s="65">
        <f t="shared" si="3"/>
        <v>-5.9506756756756829</v>
      </c>
      <c r="AI9" s="45"/>
      <c r="AJ9" s="45"/>
      <c r="AK9" s="45"/>
    </row>
    <row r="10" spans="1:37" s="4" customFormat="1" ht="46.5" customHeight="1" x14ac:dyDescent="0.3">
      <c r="A10" s="46" t="s">
        <v>44</v>
      </c>
      <c r="B10" s="47">
        <v>1200</v>
      </c>
      <c r="C10" s="48">
        <f>1191-1-1-3-1-1-1-1</f>
        <v>1182</v>
      </c>
      <c r="D10" s="47"/>
      <c r="E10" s="49"/>
      <c r="F10" s="50"/>
      <c r="G10" s="51">
        <v>46058</v>
      </c>
      <c r="H10" s="52">
        <f t="shared" si="4"/>
        <v>31</v>
      </c>
      <c r="I10" s="52">
        <f t="shared" si="4"/>
        <v>7</v>
      </c>
      <c r="J10" s="53" t="str">
        <f t="shared" si="4"/>
        <v xml:space="preserve">LAYER </v>
      </c>
      <c r="K10" s="54">
        <f t="shared" si="0"/>
        <v>147.75</v>
      </c>
      <c r="L10" s="52">
        <f t="shared" si="4"/>
        <v>125</v>
      </c>
      <c r="M10" s="52" t="str">
        <f t="shared" si="4"/>
        <v>121-129</v>
      </c>
      <c r="N10" s="56">
        <v>1857</v>
      </c>
      <c r="O10" s="57">
        <f t="shared" si="4"/>
        <v>1901</v>
      </c>
      <c r="P10" s="55">
        <v>30</v>
      </c>
      <c r="Q10" s="55">
        <v>5</v>
      </c>
      <c r="R10" s="55">
        <v>5</v>
      </c>
      <c r="S10" s="55"/>
      <c r="T10" s="55"/>
      <c r="U10" s="55"/>
      <c r="V10" s="55">
        <v>2</v>
      </c>
      <c r="W10" s="52"/>
      <c r="X10" s="58">
        <f t="shared" si="1"/>
        <v>1057</v>
      </c>
      <c r="Y10" s="59">
        <f>+X10-'[1]2-9'!X10</f>
        <v>3</v>
      </c>
      <c r="Z10" s="60">
        <f t="shared" si="2"/>
        <v>89.424703891708972</v>
      </c>
      <c r="AA10" s="66">
        <f t="shared" si="5"/>
        <v>95.9</v>
      </c>
      <c r="AB10" s="62"/>
      <c r="AC10" s="67"/>
      <c r="AD10" s="64" t="str">
        <f t="shared" si="6"/>
        <v>KAMIS</v>
      </c>
      <c r="AE10" s="65">
        <f t="shared" si="3"/>
        <v>-6.4752961082910332</v>
      </c>
      <c r="AI10" s="45"/>
      <c r="AJ10" s="45"/>
      <c r="AK10" s="45"/>
    </row>
    <row r="11" spans="1:37" s="4" customFormat="1" ht="46.5" customHeight="1" x14ac:dyDescent="0.3">
      <c r="A11" s="46" t="s">
        <v>45</v>
      </c>
      <c r="B11" s="47">
        <v>1200</v>
      </c>
      <c r="C11" s="48">
        <f>1165-1-1-1-1-1-1-1-1</f>
        <v>1157</v>
      </c>
      <c r="D11" s="47"/>
      <c r="E11" s="49"/>
      <c r="F11" s="50"/>
      <c r="G11" s="51">
        <v>46058</v>
      </c>
      <c r="H11" s="52">
        <f t="shared" si="4"/>
        <v>31</v>
      </c>
      <c r="I11" s="52">
        <f t="shared" si="4"/>
        <v>7</v>
      </c>
      <c r="J11" s="53" t="str">
        <f t="shared" si="4"/>
        <v xml:space="preserve">LAYER </v>
      </c>
      <c r="K11" s="54">
        <f t="shared" si="0"/>
        <v>144.625</v>
      </c>
      <c r="L11" s="52">
        <f t="shared" si="4"/>
        <v>125</v>
      </c>
      <c r="M11" s="52" t="str">
        <f t="shared" si="4"/>
        <v>121-129</v>
      </c>
      <c r="N11" s="56">
        <v>1821</v>
      </c>
      <c r="O11" s="57">
        <f t="shared" si="4"/>
        <v>1901</v>
      </c>
      <c r="P11" s="55">
        <v>29</v>
      </c>
      <c r="Q11" s="55">
        <v>3</v>
      </c>
      <c r="R11" s="55">
        <v>16</v>
      </c>
      <c r="S11" s="55"/>
      <c r="T11" s="55"/>
      <c r="U11" s="55"/>
      <c r="V11" s="55">
        <v>6</v>
      </c>
      <c r="W11" s="52"/>
      <c r="X11" s="58">
        <f t="shared" si="1"/>
        <v>982</v>
      </c>
      <c r="Y11" s="59">
        <f>+X11-'[1]2-9'!X11</f>
        <v>5</v>
      </c>
      <c r="Z11" s="60">
        <f t="shared" si="2"/>
        <v>84.874675885911842</v>
      </c>
      <c r="AA11" s="66">
        <f t="shared" si="5"/>
        <v>95.9</v>
      </c>
      <c r="AB11" s="62"/>
      <c r="AC11" s="67"/>
      <c r="AD11" s="64" t="str">
        <f t="shared" si="6"/>
        <v>KAMIS</v>
      </c>
      <c r="AE11" s="65">
        <f t="shared" si="3"/>
        <v>-11.025324114088164</v>
      </c>
      <c r="AI11" s="45"/>
      <c r="AJ11" s="45"/>
      <c r="AK11" s="45"/>
    </row>
    <row r="12" spans="1:37" s="4" customFormat="1" ht="46.5" customHeight="1" x14ac:dyDescent="0.3">
      <c r="A12" s="46" t="s">
        <v>46</v>
      </c>
      <c r="B12" s="47">
        <v>800</v>
      </c>
      <c r="C12" s="48">
        <f>779-1-1</f>
        <v>777</v>
      </c>
      <c r="D12" s="47"/>
      <c r="E12" s="49"/>
      <c r="F12" s="50"/>
      <c r="G12" s="51">
        <v>46058</v>
      </c>
      <c r="H12" s="52">
        <f t="shared" si="4"/>
        <v>31</v>
      </c>
      <c r="I12" s="52">
        <f t="shared" si="4"/>
        <v>7</v>
      </c>
      <c r="J12" s="53" t="str">
        <f t="shared" si="4"/>
        <v xml:space="preserve">LAYER </v>
      </c>
      <c r="K12" s="54">
        <f t="shared" si="0"/>
        <v>97.125</v>
      </c>
      <c r="L12" s="52">
        <f t="shared" si="4"/>
        <v>125</v>
      </c>
      <c r="M12" s="52" t="str">
        <f t="shared" si="4"/>
        <v>121-129</v>
      </c>
      <c r="N12" s="56">
        <v>1816</v>
      </c>
      <c r="O12" s="57">
        <f t="shared" si="4"/>
        <v>1901</v>
      </c>
      <c r="P12" s="55">
        <v>15</v>
      </c>
      <c r="Q12" s="55">
        <v>3</v>
      </c>
      <c r="R12" s="55">
        <v>25</v>
      </c>
      <c r="S12" s="55"/>
      <c r="T12" s="55"/>
      <c r="U12" s="55"/>
      <c r="V12" s="55">
        <v>3</v>
      </c>
      <c r="W12" s="52"/>
      <c r="X12" s="58">
        <f t="shared" si="1"/>
        <v>568</v>
      </c>
      <c r="Y12" s="59">
        <f>+X12-'[1]2-9'!X12</f>
        <v>1</v>
      </c>
      <c r="Z12" s="60">
        <f t="shared" si="2"/>
        <v>73.1016731016731</v>
      </c>
      <c r="AA12" s="66">
        <f t="shared" si="5"/>
        <v>95.9</v>
      </c>
      <c r="AB12" s="62"/>
      <c r="AC12" s="67"/>
      <c r="AD12" s="64" t="str">
        <f t="shared" si="6"/>
        <v>KAMIS</v>
      </c>
      <c r="AE12" s="65">
        <f t="shared" si="3"/>
        <v>-22.798326898326906</v>
      </c>
      <c r="AI12" s="45"/>
      <c r="AJ12" s="45"/>
      <c r="AK12" s="45"/>
    </row>
    <row r="13" spans="1:37" s="4" customFormat="1" ht="46.5" customHeight="1" x14ac:dyDescent="0.3">
      <c r="A13" s="46" t="s">
        <v>47</v>
      </c>
      <c r="B13" s="47">
        <v>1120</v>
      </c>
      <c r="C13" s="48">
        <f>1094-1-1-1-1-1-1-1-1</f>
        <v>1086</v>
      </c>
      <c r="D13" s="47"/>
      <c r="E13" s="49"/>
      <c r="F13" s="50"/>
      <c r="G13" s="51">
        <v>46058</v>
      </c>
      <c r="H13" s="52">
        <f t="shared" si="4"/>
        <v>31</v>
      </c>
      <c r="I13" s="52">
        <f t="shared" si="4"/>
        <v>7</v>
      </c>
      <c r="J13" s="53" t="str">
        <f t="shared" si="4"/>
        <v xml:space="preserve">LAYER </v>
      </c>
      <c r="K13" s="54">
        <f t="shared" si="0"/>
        <v>135.75</v>
      </c>
      <c r="L13" s="52">
        <f t="shared" si="4"/>
        <v>125</v>
      </c>
      <c r="M13" s="52" t="str">
        <f t="shared" si="4"/>
        <v>121-129</v>
      </c>
      <c r="N13" s="56">
        <v>1834</v>
      </c>
      <c r="O13" s="57">
        <f t="shared" si="4"/>
        <v>1901</v>
      </c>
      <c r="P13" s="55">
        <v>25</v>
      </c>
      <c r="Q13" s="55">
        <v>6</v>
      </c>
      <c r="R13" s="55">
        <v>10</v>
      </c>
      <c r="S13" s="55"/>
      <c r="T13" s="55"/>
      <c r="U13" s="55">
        <v>3</v>
      </c>
      <c r="V13" s="55">
        <v>8</v>
      </c>
      <c r="W13" s="52"/>
      <c r="X13" s="58">
        <f t="shared" si="1"/>
        <v>951</v>
      </c>
      <c r="Y13" s="59">
        <f>+X13-'[1]2-9'!X13</f>
        <v>13</v>
      </c>
      <c r="Z13" s="60">
        <f t="shared" si="2"/>
        <v>87.569060773480672</v>
      </c>
      <c r="AA13" s="66">
        <f t="shared" si="5"/>
        <v>95.9</v>
      </c>
      <c r="AB13" s="62"/>
      <c r="AC13" s="67"/>
      <c r="AD13" s="64" t="str">
        <f t="shared" si="6"/>
        <v>KAMIS</v>
      </c>
      <c r="AE13" s="65">
        <f t="shared" si="3"/>
        <v>-8.3309392265193338</v>
      </c>
      <c r="AI13" s="45"/>
      <c r="AJ13" s="45"/>
      <c r="AK13" s="45"/>
    </row>
    <row r="14" spans="1:37" s="4" customFormat="1" ht="46.5" customHeight="1" x14ac:dyDescent="0.3">
      <c r="A14" s="46" t="s">
        <v>48</v>
      </c>
      <c r="B14" s="47">
        <v>1680</v>
      </c>
      <c r="C14" s="48">
        <f>1680-17-1-1-1-2-1-1-1-1-1</f>
        <v>1653</v>
      </c>
      <c r="D14" s="47"/>
      <c r="E14" s="49"/>
      <c r="F14" s="50"/>
      <c r="G14" s="51">
        <v>46058</v>
      </c>
      <c r="H14" s="52">
        <f t="shared" si="4"/>
        <v>31</v>
      </c>
      <c r="I14" s="52">
        <f t="shared" si="4"/>
        <v>7</v>
      </c>
      <c r="J14" s="53" t="str">
        <f t="shared" si="4"/>
        <v xml:space="preserve">LAYER </v>
      </c>
      <c r="K14" s="54">
        <f t="shared" si="0"/>
        <v>206.625</v>
      </c>
      <c r="L14" s="52">
        <f t="shared" si="4"/>
        <v>125</v>
      </c>
      <c r="M14" s="52" t="str">
        <f t="shared" si="4"/>
        <v>121-129</v>
      </c>
      <c r="N14" s="56">
        <v>1856</v>
      </c>
      <c r="O14" s="57">
        <f t="shared" si="4"/>
        <v>1901</v>
      </c>
      <c r="P14" s="55">
        <v>40</v>
      </c>
      <c r="Q14" s="55">
        <v>5</v>
      </c>
      <c r="R14" s="55">
        <v>4</v>
      </c>
      <c r="S14" s="55"/>
      <c r="T14" s="55"/>
      <c r="U14" s="55"/>
      <c r="V14" s="55">
        <v>3</v>
      </c>
      <c r="W14" s="52"/>
      <c r="X14" s="58">
        <f t="shared" si="1"/>
        <v>1357</v>
      </c>
      <c r="Y14" s="59">
        <f>+X14-'[1]2-9'!X14</f>
        <v>29</v>
      </c>
      <c r="Z14" s="60">
        <f t="shared" si="2"/>
        <v>82.093163944343615</v>
      </c>
      <c r="AA14" s="66">
        <f t="shared" si="5"/>
        <v>95.9</v>
      </c>
      <c r="AB14" s="62"/>
      <c r="AC14" s="67"/>
      <c r="AD14" s="64" t="str">
        <f t="shared" si="6"/>
        <v>KAMIS</v>
      </c>
      <c r="AE14" s="65">
        <f t="shared" si="3"/>
        <v>-13.80683605565639</v>
      </c>
      <c r="AG14" s="70"/>
      <c r="AI14" s="45"/>
      <c r="AJ14" s="45"/>
      <c r="AK14" s="45"/>
    </row>
    <row r="15" spans="1:37" s="4" customFormat="1" ht="46.5" customHeight="1" x14ac:dyDescent="0.3">
      <c r="A15" s="46" t="s">
        <v>49</v>
      </c>
      <c r="B15" s="47">
        <v>1152</v>
      </c>
      <c r="C15" s="48">
        <f>1152-9-1-1-1-1-1</f>
        <v>1138</v>
      </c>
      <c r="D15" s="47"/>
      <c r="E15" s="47"/>
      <c r="F15" s="47"/>
      <c r="G15" s="51">
        <v>46058</v>
      </c>
      <c r="H15" s="52">
        <f t="shared" ref="H15:M16" si="7">+H6</f>
        <v>31</v>
      </c>
      <c r="I15" s="52">
        <f t="shared" si="7"/>
        <v>7</v>
      </c>
      <c r="J15" s="53" t="str">
        <f t="shared" si="4"/>
        <v xml:space="preserve">LAYER </v>
      </c>
      <c r="K15" s="54">
        <f t="shared" si="0"/>
        <v>142.25</v>
      </c>
      <c r="L15" s="52">
        <f t="shared" si="7"/>
        <v>125</v>
      </c>
      <c r="M15" s="55" t="str">
        <f t="shared" si="7"/>
        <v>121-129</v>
      </c>
      <c r="N15" s="56">
        <v>1835</v>
      </c>
      <c r="O15" s="57">
        <f t="shared" si="4"/>
        <v>1901</v>
      </c>
      <c r="P15" s="47">
        <v>29</v>
      </c>
      <c r="Q15" s="47">
        <v>4</v>
      </c>
      <c r="R15" s="47">
        <v>13</v>
      </c>
      <c r="S15" s="47"/>
      <c r="T15" s="47"/>
      <c r="U15" s="47"/>
      <c r="V15" s="47"/>
      <c r="W15" s="47"/>
      <c r="X15" s="58">
        <f t="shared" si="1"/>
        <v>1003</v>
      </c>
      <c r="Y15" s="59">
        <f>+X15-'[1]2-9'!X15</f>
        <v>-12</v>
      </c>
      <c r="Z15" s="60">
        <f t="shared" si="2"/>
        <v>88.137082601054487</v>
      </c>
      <c r="AA15" s="66">
        <f t="shared" si="5"/>
        <v>95.9</v>
      </c>
      <c r="AB15" s="62"/>
      <c r="AC15" s="49"/>
      <c r="AD15" s="64" t="str">
        <f t="shared" si="6"/>
        <v>KAMIS</v>
      </c>
      <c r="AE15" s="65">
        <f t="shared" si="3"/>
        <v>-7.7629173989455182</v>
      </c>
      <c r="AI15" s="45"/>
      <c r="AJ15" s="45"/>
      <c r="AK15" s="45"/>
    </row>
    <row r="16" spans="1:37" s="4" customFormat="1" ht="46.5" customHeight="1" x14ac:dyDescent="0.3">
      <c r="A16" s="46" t="s">
        <v>50</v>
      </c>
      <c r="B16" s="47">
        <v>640</v>
      </c>
      <c r="C16" s="48">
        <f>+B16-12</f>
        <v>628</v>
      </c>
      <c r="D16" s="47"/>
      <c r="E16" s="49"/>
      <c r="F16" s="47"/>
      <c r="G16" s="51">
        <v>46058</v>
      </c>
      <c r="H16" s="52">
        <f t="shared" si="7"/>
        <v>31</v>
      </c>
      <c r="I16" s="52">
        <f t="shared" si="7"/>
        <v>7</v>
      </c>
      <c r="J16" s="53" t="str">
        <f t="shared" si="4"/>
        <v xml:space="preserve">LAYER </v>
      </c>
      <c r="K16" s="54">
        <f t="shared" si="0"/>
        <v>78.5</v>
      </c>
      <c r="L16" s="52">
        <f t="shared" si="7"/>
        <v>125</v>
      </c>
      <c r="M16" s="55" t="str">
        <f>+M6</f>
        <v>121-129</v>
      </c>
      <c r="N16" s="56">
        <v>1836</v>
      </c>
      <c r="O16" s="57">
        <f>+O6</f>
        <v>1901</v>
      </c>
      <c r="P16" s="47">
        <v>16</v>
      </c>
      <c r="Q16" s="47">
        <v>2</v>
      </c>
      <c r="R16" s="47">
        <v>8</v>
      </c>
      <c r="S16" s="47"/>
      <c r="T16" s="47"/>
      <c r="U16" s="47"/>
      <c r="V16" s="47">
        <v>4</v>
      </c>
      <c r="W16" s="47"/>
      <c r="X16" s="58">
        <f t="shared" si="1"/>
        <v>552</v>
      </c>
      <c r="Y16" s="59">
        <f>+X16-'[1]2-9'!X16</f>
        <v>22</v>
      </c>
      <c r="Z16" s="60">
        <f t="shared" si="2"/>
        <v>87.898089171974519</v>
      </c>
      <c r="AA16" s="61">
        <f t="shared" si="5"/>
        <v>95.9</v>
      </c>
      <c r="AB16" s="62"/>
      <c r="AC16" s="49"/>
      <c r="AD16" s="64" t="str">
        <f t="shared" si="6"/>
        <v>KAMIS</v>
      </c>
      <c r="AE16" s="65">
        <f t="shared" si="3"/>
        <v>-8.0019108280254869</v>
      </c>
      <c r="AI16" s="45"/>
      <c r="AJ16" s="45"/>
      <c r="AK16" s="45"/>
    </row>
    <row r="17" spans="1:37" s="4" customFormat="1" ht="48" customHeight="1" x14ac:dyDescent="0.3">
      <c r="A17" s="46" t="s">
        <v>51</v>
      </c>
      <c r="B17" s="47">
        <v>1056</v>
      </c>
      <c r="C17" s="71">
        <f>968-1-1-1-1-1-1-1-1-1-1-1-1-3-1-1-1-1-1-131-1-1-1-1-1-1-1</f>
        <v>810</v>
      </c>
      <c r="D17" s="49"/>
      <c r="E17" s="72"/>
      <c r="F17" s="50"/>
      <c r="G17" s="51">
        <v>45768</v>
      </c>
      <c r="H17" s="52">
        <v>72</v>
      </c>
      <c r="I17" s="52">
        <v>16</v>
      </c>
      <c r="J17" s="73" t="s">
        <v>52</v>
      </c>
      <c r="K17" s="54">
        <f t="shared" si="0"/>
        <v>101.25</v>
      </c>
      <c r="L17" s="52">
        <v>125</v>
      </c>
      <c r="M17" s="55" t="s">
        <v>39</v>
      </c>
      <c r="N17" s="56">
        <v>1976</v>
      </c>
      <c r="O17" s="74">
        <v>1970</v>
      </c>
      <c r="P17" s="55">
        <v>22</v>
      </c>
      <c r="Q17" s="55">
        <v>2</v>
      </c>
      <c r="R17" s="55">
        <v>11</v>
      </c>
      <c r="S17" s="55"/>
      <c r="T17" s="55"/>
      <c r="U17" s="55"/>
      <c r="V17" s="55"/>
      <c r="W17" s="52"/>
      <c r="X17" s="75">
        <f t="shared" si="1"/>
        <v>731</v>
      </c>
      <c r="Y17" s="59">
        <f>+X17-'[1]2-9'!X17</f>
        <v>1</v>
      </c>
      <c r="Z17" s="76">
        <f t="shared" si="2"/>
        <v>90.246913580246911</v>
      </c>
      <c r="AA17" s="77">
        <v>81.900000000000006</v>
      </c>
      <c r="AB17" s="62"/>
      <c r="AC17" s="78"/>
      <c r="AD17" s="79" t="s">
        <v>53</v>
      </c>
      <c r="AE17" s="68">
        <f t="shared" si="3"/>
        <v>8.3469135802469054</v>
      </c>
      <c r="AF17" s="70" t="s">
        <v>54</v>
      </c>
      <c r="AI17" s="45"/>
      <c r="AJ17" s="45"/>
      <c r="AK17" s="45"/>
    </row>
    <row r="18" spans="1:37" s="4" customFormat="1" ht="46.5" customHeight="1" x14ac:dyDescent="0.3">
      <c r="A18" s="46" t="s">
        <v>55</v>
      </c>
      <c r="B18" s="47">
        <v>1216</v>
      </c>
      <c r="C18" s="71">
        <f>1115-1-2-2-2-1-1-1-1-1-1-1-1-75-1-1-1-1-1-1-1-1-1-1-2-1-1-1-1-1-1-1</f>
        <v>1006</v>
      </c>
      <c r="D18" s="49"/>
      <c r="E18" s="72"/>
      <c r="F18" s="50"/>
      <c r="G18" s="51">
        <f>+G17</f>
        <v>45768</v>
      </c>
      <c r="H18" s="52">
        <f t="shared" ref="H18:M24" si="8">+H17</f>
        <v>72</v>
      </c>
      <c r="I18" s="52">
        <f t="shared" si="8"/>
        <v>16</v>
      </c>
      <c r="J18" s="73" t="str">
        <f t="shared" si="8"/>
        <v>SPESIAL</v>
      </c>
      <c r="K18" s="54">
        <f t="shared" si="0"/>
        <v>125.75</v>
      </c>
      <c r="L18" s="52">
        <v>125</v>
      </c>
      <c r="M18" s="55" t="str">
        <f t="shared" si="8"/>
        <v>121-129</v>
      </c>
      <c r="N18" s="56">
        <v>2001</v>
      </c>
      <c r="O18" s="74">
        <f t="shared" ref="O18:O24" si="9">+O17</f>
        <v>1970</v>
      </c>
      <c r="P18" s="55">
        <v>27</v>
      </c>
      <c r="Q18" s="55">
        <v>2</v>
      </c>
      <c r="R18" s="55">
        <v>17</v>
      </c>
      <c r="S18" s="55"/>
      <c r="T18" s="55"/>
      <c r="U18" s="55"/>
      <c r="V18" s="55"/>
      <c r="W18" s="52"/>
      <c r="X18" s="75">
        <f t="shared" si="1"/>
        <v>887</v>
      </c>
      <c r="Y18" s="59">
        <f>+X18-'[1]2-9'!X18</f>
        <v>1</v>
      </c>
      <c r="Z18" s="76">
        <f t="shared" si="2"/>
        <v>88.170974155069587</v>
      </c>
      <c r="AA18" s="61">
        <f t="shared" ref="AA18:AA24" si="10">+AA17</f>
        <v>81.900000000000006</v>
      </c>
      <c r="AB18" s="62"/>
      <c r="AC18" s="78"/>
      <c r="AD18" s="79" t="s">
        <v>53</v>
      </c>
      <c r="AE18" s="68">
        <f t="shared" si="3"/>
        <v>6.270974155069581</v>
      </c>
      <c r="AF18" s="80" t="str">
        <f t="shared" ref="AF18:AF24" si="11">+AF17</f>
        <v>NOVOGEN</v>
      </c>
    </row>
    <row r="19" spans="1:37" s="4" customFormat="1" ht="46.5" customHeight="1" x14ac:dyDescent="0.3">
      <c r="A19" s="46" t="s">
        <v>56</v>
      </c>
      <c r="B19" s="81">
        <v>1390</v>
      </c>
      <c r="C19" s="71">
        <f>1301-1-5-3-1-2-1-1-1-1-1-1-2-2-1-1-1-1-30-1-1-1-1-1-1-1-1-1-1-1-1-1-1-1-1-1-1-1-1-1</f>
        <v>1224</v>
      </c>
      <c r="D19" s="49"/>
      <c r="E19" s="72"/>
      <c r="F19" s="50"/>
      <c r="G19" s="51">
        <f t="shared" ref="G19:G24" si="12">+G17</f>
        <v>45768</v>
      </c>
      <c r="H19" s="52">
        <f t="shared" si="8"/>
        <v>72</v>
      </c>
      <c r="I19" s="52">
        <f t="shared" si="8"/>
        <v>16</v>
      </c>
      <c r="J19" s="73" t="str">
        <f t="shared" si="8"/>
        <v>SPESIAL</v>
      </c>
      <c r="K19" s="54">
        <f t="shared" si="0"/>
        <v>153</v>
      </c>
      <c r="L19" s="52">
        <v>125</v>
      </c>
      <c r="M19" s="55" t="str">
        <f t="shared" si="8"/>
        <v>121-129</v>
      </c>
      <c r="N19" s="56">
        <v>1994</v>
      </c>
      <c r="O19" s="82">
        <f t="shared" si="9"/>
        <v>1970</v>
      </c>
      <c r="P19" s="55">
        <v>33</v>
      </c>
      <c r="Q19" s="55">
        <v>3</v>
      </c>
      <c r="R19" s="55">
        <v>5</v>
      </c>
      <c r="S19" s="55"/>
      <c r="T19" s="55"/>
      <c r="U19" s="55"/>
      <c r="V19" s="55"/>
      <c r="W19" s="52"/>
      <c r="X19" s="75">
        <f t="shared" si="1"/>
        <v>1085</v>
      </c>
      <c r="Y19" s="59">
        <f>+X19-'[1]2-9'!X19</f>
        <v>0</v>
      </c>
      <c r="Z19" s="76">
        <f t="shared" si="2"/>
        <v>88.643790849673195</v>
      </c>
      <c r="AA19" s="61">
        <f t="shared" si="10"/>
        <v>81.900000000000006</v>
      </c>
      <c r="AB19" s="62"/>
      <c r="AC19" s="78"/>
      <c r="AD19" s="79" t="s">
        <v>53</v>
      </c>
      <c r="AE19" s="68">
        <f t="shared" si="3"/>
        <v>6.7437908496731893</v>
      </c>
      <c r="AF19" s="80" t="str">
        <f t="shared" si="11"/>
        <v>NOVOGEN</v>
      </c>
    </row>
    <row r="20" spans="1:37" s="4" customFormat="1" ht="46.5" customHeight="1" x14ac:dyDescent="0.3">
      <c r="A20" s="46" t="s">
        <v>57</v>
      </c>
      <c r="B20" s="47">
        <f>1536-1</f>
        <v>1535</v>
      </c>
      <c r="C20" s="71">
        <f>1429-1-1-1-1-1-1-1-1-1-1-1-2-1-2-1-1-1-98-40-2-1-1-1-2-2-2-1-1-1-1-1-2-1-2-1-1-1-1</f>
        <v>1247</v>
      </c>
      <c r="D20" s="49"/>
      <c r="E20" s="72"/>
      <c r="F20" s="50"/>
      <c r="G20" s="51">
        <f t="shared" si="12"/>
        <v>45768</v>
      </c>
      <c r="H20" s="52">
        <f t="shared" si="8"/>
        <v>72</v>
      </c>
      <c r="I20" s="52">
        <f t="shared" si="8"/>
        <v>16</v>
      </c>
      <c r="J20" s="73" t="str">
        <f t="shared" si="8"/>
        <v>SPESIAL</v>
      </c>
      <c r="K20" s="54">
        <f t="shared" si="0"/>
        <v>155.875</v>
      </c>
      <c r="L20" s="52">
        <v>125</v>
      </c>
      <c r="M20" s="55" t="str">
        <f t="shared" si="8"/>
        <v>121-129</v>
      </c>
      <c r="N20" s="56">
        <v>1965</v>
      </c>
      <c r="O20" s="82">
        <f t="shared" si="9"/>
        <v>1970</v>
      </c>
      <c r="P20" s="55">
        <v>32</v>
      </c>
      <c r="Q20" s="55">
        <v>4</v>
      </c>
      <c r="R20" s="55">
        <v>21</v>
      </c>
      <c r="S20" s="55"/>
      <c r="T20" s="55"/>
      <c r="U20" s="55"/>
      <c r="V20" s="55"/>
      <c r="W20" s="52"/>
      <c r="X20" s="75">
        <f t="shared" si="1"/>
        <v>1101</v>
      </c>
      <c r="Y20" s="59">
        <f>+X20-'[1]2-9'!X20</f>
        <v>6</v>
      </c>
      <c r="Z20" s="76">
        <f t="shared" si="2"/>
        <v>88.291900561347234</v>
      </c>
      <c r="AA20" s="61">
        <f t="shared" si="10"/>
        <v>81.900000000000006</v>
      </c>
      <c r="AB20" s="62"/>
      <c r="AC20" s="78"/>
      <c r="AD20" s="79" t="s">
        <v>53</v>
      </c>
      <c r="AE20" s="68">
        <f t="shared" si="3"/>
        <v>6.3919005613472279</v>
      </c>
      <c r="AF20" s="80" t="str">
        <f t="shared" si="11"/>
        <v>NOVOGEN</v>
      </c>
    </row>
    <row r="21" spans="1:37" s="4" customFormat="1" ht="46.5" customHeight="1" x14ac:dyDescent="0.3">
      <c r="A21" s="46" t="s">
        <v>58</v>
      </c>
      <c r="B21" s="81">
        <v>1600</v>
      </c>
      <c r="C21" s="71">
        <f>1452-2-1-1-1-1-1-1-1-2-1-1-110-3-1-1-1-1-1-1-1-1-1-1-1-1</f>
        <v>1314</v>
      </c>
      <c r="D21" s="49"/>
      <c r="E21" s="72"/>
      <c r="F21" s="50"/>
      <c r="G21" s="51">
        <f t="shared" si="12"/>
        <v>45768</v>
      </c>
      <c r="H21" s="52">
        <f t="shared" si="8"/>
        <v>72</v>
      </c>
      <c r="I21" s="52">
        <f t="shared" si="8"/>
        <v>16</v>
      </c>
      <c r="J21" s="73" t="str">
        <f t="shared" si="8"/>
        <v>SPESIAL</v>
      </c>
      <c r="K21" s="54">
        <f t="shared" si="0"/>
        <v>164.25</v>
      </c>
      <c r="L21" s="52">
        <v>125</v>
      </c>
      <c r="M21" s="55" t="str">
        <f t="shared" si="8"/>
        <v>121-129</v>
      </c>
      <c r="N21" s="56">
        <v>1922</v>
      </c>
      <c r="O21" s="82">
        <f t="shared" si="9"/>
        <v>1970</v>
      </c>
      <c r="P21" s="55">
        <v>35</v>
      </c>
      <c r="Q21" s="55">
        <v>4</v>
      </c>
      <c r="R21" s="55">
        <v>1</v>
      </c>
      <c r="S21" s="55"/>
      <c r="T21" s="55"/>
      <c r="U21" s="55"/>
      <c r="V21" s="55"/>
      <c r="W21" s="52"/>
      <c r="X21" s="75">
        <f t="shared" si="1"/>
        <v>1171</v>
      </c>
      <c r="Y21" s="59">
        <f>+X21-'[1]2-9'!X21</f>
        <v>-9</v>
      </c>
      <c r="Z21" s="76">
        <f t="shared" si="2"/>
        <v>89.117199391171994</v>
      </c>
      <c r="AA21" s="61">
        <f t="shared" si="10"/>
        <v>81.900000000000006</v>
      </c>
      <c r="AB21" s="62"/>
      <c r="AC21" s="78"/>
      <c r="AD21" s="79" t="s">
        <v>53</v>
      </c>
      <c r="AE21" s="68">
        <f t="shared" si="3"/>
        <v>7.2171993911719881</v>
      </c>
      <c r="AF21" s="80" t="str">
        <f t="shared" si="11"/>
        <v>NOVOGEN</v>
      </c>
    </row>
    <row r="22" spans="1:37" s="85" customFormat="1" ht="46.5" customHeight="1" x14ac:dyDescent="0.3">
      <c r="A22" s="46" t="s">
        <v>59</v>
      </c>
      <c r="B22" s="47">
        <v>888</v>
      </c>
      <c r="C22" s="71">
        <f>823-1-1-1-1-1-1-1-2-1-1-1-55-1-1-1-1-1-1</f>
        <v>750</v>
      </c>
      <c r="D22" s="49"/>
      <c r="E22" s="72"/>
      <c r="F22" s="50"/>
      <c r="G22" s="51">
        <f t="shared" si="12"/>
        <v>45768</v>
      </c>
      <c r="H22" s="52">
        <f t="shared" si="8"/>
        <v>72</v>
      </c>
      <c r="I22" s="52">
        <f t="shared" si="8"/>
        <v>16</v>
      </c>
      <c r="J22" s="73" t="str">
        <f t="shared" si="8"/>
        <v>SPESIAL</v>
      </c>
      <c r="K22" s="54">
        <f t="shared" si="0"/>
        <v>93.75</v>
      </c>
      <c r="L22" s="52">
        <v>125</v>
      </c>
      <c r="M22" s="55" t="str">
        <f t="shared" si="8"/>
        <v>121-129</v>
      </c>
      <c r="N22" s="56">
        <v>1936</v>
      </c>
      <c r="O22" s="82">
        <f t="shared" si="9"/>
        <v>1970</v>
      </c>
      <c r="P22" s="55">
        <v>20</v>
      </c>
      <c r="Q22" s="55">
        <v>1</v>
      </c>
      <c r="R22" s="55">
        <v>27</v>
      </c>
      <c r="S22" s="55"/>
      <c r="T22" s="55"/>
      <c r="U22" s="55"/>
      <c r="V22" s="55"/>
      <c r="W22" s="52"/>
      <c r="X22" s="75">
        <f t="shared" si="1"/>
        <v>657</v>
      </c>
      <c r="Y22" s="59">
        <f>+X22-'[1]2-9'!X22</f>
        <v>0</v>
      </c>
      <c r="Z22" s="76">
        <f t="shared" si="2"/>
        <v>87.6</v>
      </c>
      <c r="AA22" s="61">
        <f t="shared" si="10"/>
        <v>81.900000000000006</v>
      </c>
      <c r="AB22" s="62"/>
      <c r="AC22" s="83"/>
      <c r="AD22" s="79" t="s">
        <v>53</v>
      </c>
      <c r="AE22" s="84">
        <f t="shared" si="3"/>
        <v>5.6999999999999886</v>
      </c>
      <c r="AF22" s="80" t="str">
        <f t="shared" si="11"/>
        <v>NOVOGEN</v>
      </c>
    </row>
    <row r="23" spans="1:37" s="4" customFormat="1" ht="46.5" customHeight="1" x14ac:dyDescent="0.3">
      <c r="A23" s="46" t="s">
        <v>60</v>
      </c>
      <c r="B23" s="47">
        <v>888</v>
      </c>
      <c r="C23" s="71">
        <f>825-1-1-1-1-3-2-1-1-47-1-1-1-1-2-1-1-1-1</f>
        <v>757</v>
      </c>
      <c r="D23" s="49"/>
      <c r="E23" s="72"/>
      <c r="F23" s="50"/>
      <c r="G23" s="51">
        <f t="shared" si="12"/>
        <v>45768</v>
      </c>
      <c r="H23" s="52">
        <f>+H17</f>
        <v>72</v>
      </c>
      <c r="I23" s="52">
        <f>+I22</f>
        <v>16</v>
      </c>
      <c r="J23" s="73" t="str">
        <f t="shared" si="8"/>
        <v>SPESIAL</v>
      </c>
      <c r="K23" s="54">
        <f t="shared" si="0"/>
        <v>94.625</v>
      </c>
      <c r="L23" s="52">
        <v>125</v>
      </c>
      <c r="M23" s="55" t="str">
        <f>+M22</f>
        <v>121-129</v>
      </c>
      <c r="N23" s="56">
        <v>1945</v>
      </c>
      <c r="O23" s="82">
        <f t="shared" si="9"/>
        <v>1970</v>
      </c>
      <c r="P23" s="55">
        <v>20</v>
      </c>
      <c r="Q23" s="55">
        <v>2</v>
      </c>
      <c r="R23" s="55">
        <v>13</v>
      </c>
      <c r="S23" s="55"/>
      <c r="T23" s="55"/>
      <c r="U23" s="55"/>
      <c r="V23" s="55"/>
      <c r="W23" s="52"/>
      <c r="X23" s="75">
        <f t="shared" si="1"/>
        <v>673</v>
      </c>
      <c r="Y23" s="59">
        <f>+X23-'[1]2-9'!X23</f>
        <v>0</v>
      </c>
      <c r="Z23" s="76">
        <f t="shared" si="2"/>
        <v>88.903566710700133</v>
      </c>
      <c r="AA23" s="61">
        <f t="shared" si="10"/>
        <v>81.900000000000006</v>
      </c>
      <c r="AB23" s="62"/>
      <c r="AC23" s="78"/>
      <c r="AD23" s="79" t="s">
        <v>53</v>
      </c>
      <c r="AE23" s="68">
        <f t="shared" si="3"/>
        <v>7.0035667107001274</v>
      </c>
      <c r="AF23" s="80" t="str">
        <f t="shared" si="11"/>
        <v>NOVOGEN</v>
      </c>
    </row>
    <row r="24" spans="1:37" s="4" customFormat="1" ht="46.5" customHeight="1" x14ac:dyDescent="0.3">
      <c r="A24" s="46" t="s">
        <v>61</v>
      </c>
      <c r="B24" s="47">
        <v>1304</v>
      </c>
      <c r="C24" s="71">
        <f>1224-2-1-2-1-1-1-3-2-1-1-1-1-2-1-1-2-1-1-1-1-1-1-114-1-1-1-1-1-1-2-2-1-1-1-1-1-3-2-1-1-1-1-1-2-1-1-1-1-1-1-1-1-2-3-1</f>
        <v>1040</v>
      </c>
      <c r="D24" s="49"/>
      <c r="E24" s="72"/>
      <c r="F24" s="50"/>
      <c r="G24" s="51">
        <f t="shared" si="12"/>
        <v>45768</v>
      </c>
      <c r="H24" s="52">
        <f>+H17</f>
        <v>72</v>
      </c>
      <c r="I24" s="52">
        <f>+I17</f>
        <v>16</v>
      </c>
      <c r="J24" s="73" t="str">
        <f t="shared" si="8"/>
        <v>SPESIAL</v>
      </c>
      <c r="K24" s="54">
        <f t="shared" si="0"/>
        <v>130</v>
      </c>
      <c r="L24" s="52">
        <v>125</v>
      </c>
      <c r="M24" s="55" t="str">
        <f>+M23</f>
        <v>121-129</v>
      </c>
      <c r="N24" s="56">
        <v>1931</v>
      </c>
      <c r="O24" s="82">
        <f t="shared" si="9"/>
        <v>1970</v>
      </c>
      <c r="P24" s="55">
        <v>28</v>
      </c>
      <c r="Q24" s="55">
        <v>2</v>
      </c>
      <c r="R24" s="55">
        <v>8</v>
      </c>
      <c r="S24" s="55"/>
      <c r="T24" s="55"/>
      <c r="U24" s="55"/>
      <c r="V24" s="55"/>
      <c r="W24" s="52"/>
      <c r="X24" s="75">
        <f t="shared" si="1"/>
        <v>908</v>
      </c>
      <c r="Y24" s="59">
        <f>+X24-'[1]2-9'!X24</f>
        <v>3</v>
      </c>
      <c r="Z24" s="76">
        <f t="shared" si="2"/>
        <v>87.307692307692307</v>
      </c>
      <c r="AA24" s="61">
        <f t="shared" si="10"/>
        <v>81.900000000000006</v>
      </c>
      <c r="AB24" s="62"/>
      <c r="AC24" s="78"/>
      <c r="AD24" s="79" t="s">
        <v>53</v>
      </c>
      <c r="AE24" s="68">
        <f t="shared" si="3"/>
        <v>5.4076923076923009</v>
      </c>
      <c r="AF24" s="80" t="str">
        <f t="shared" si="11"/>
        <v>NOVOGEN</v>
      </c>
    </row>
    <row r="25" spans="1:37" s="4" customFormat="1" x14ac:dyDescent="0.35">
      <c r="A25" s="86" t="s">
        <v>62</v>
      </c>
      <c r="B25" s="87"/>
      <c r="C25" s="88">
        <f>SUM(C6:C24)</f>
        <v>20397</v>
      </c>
      <c r="D25" s="89">
        <f>SUM(D6:D24)</f>
        <v>0</v>
      </c>
      <c r="E25" s="90">
        <f>+SUM(E6:E24)</f>
        <v>0</v>
      </c>
      <c r="F25" s="91"/>
      <c r="G25" s="92"/>
      <c r="H25" s="93"/>
      <c r="I25" s="93"/>
      <c r="J25" s="94"/>
      <c r="K25" s="94">
        <f>+SUM(K6:K24)</f>
        <v>2549.625</v>
      </c>
      <c r="L25" s="95"/>
      <c r="M25" s="96"/>
      <c r="N25" s="97"/>
      <c r="O25" s="96"/>
      <c r="P25" s="98">
        <f t="shared" ref="P25:X25" si="13">SUM(P6:P24)</f>
        <v>523</v>
      </c>
      <c r="Q25" s="98">
        <f t="shared" si="13"/>
        <v>60</v>
      </c>
      <c r="R25" s="98">
        <f>SUM(R6:R24)</f>
        <v>226</v>
      </c>
      <c r="S25" s="98">
        <f t="shared" si="13"/>
        <v>0</v>
      </c>
      <c r="T25" s="98">
        <f t="shared" si="13"/>
        <v>0</v>
      </c>
      <c r="U25" s="98">
        <f t="shared" si="13"/>
        <v>3</v>
      </c>
      <c r="V25" s="98">
        <f t="shared" si="13"/>
        <v>46</v>
      </c>
      <c r="W25" s="98">
        <f t="shared" si="13"/>
        <v>0</v>
      </c>
      <c r="X25" s="99">
        <f t="shared" si="13"/>
        <v>17765</v>
      </c>
      <c r="Y25" s="59">
        <f>+X25-'[1]2-9'!X25</f>
        <v>105</v>
      </c>
      <c r="Z25" s="100" t="s">
        <v>63</v>
      </c>
      <c r="AA25" s="101"/>
      <c r="AB25" s="102"/>
      <c r="AC25" s="103"/>
      <c r="AD25" s="104"/>
      <c r="AE25" s="105"/>
    </row>
    <row r="26" spans="1:37" s="4" customFormat="1" ht="17.399999999999999" x14ac:dyDescent="0.3">
      <c r="A26" s="106" t="s">
        <v>64</v>
      </c>
      <c r="B26" s="106"/>
      <c r="C26" s="107"/>
      <c r="D26" s="108">
        <f>K25</f>
        <v>2549.625</v>
      </c>
      <c r="E26" s="109"/>
      <c r="F26" s="110"/>
      <c r="G26" s="111"/>
      <c r="H26" s="112"/>
      <c r="I26" s="112"/>
      <c r="J26" s="113"/>
      <c r="K26" s="111"/>
      <c r="L26" s="114"/>
      <c r="M26" s="111"/>
      <c r="N26" s="115"/>
      <c r="O26" s="111"/>
      <c r="P26" s="111"/>
      <c r="Q26" s="111"/>
      <c r="R26" s="111"/>
      <c r="S26" s="111"/>
      <c r="T26" s="111"/>
      <c r="U26" s="111"/>
      <c r="V26" s="116"/>
      <c r="W26" s="117"/>
      <c r="X26" s="118">
        <f>+X25/300</f>
        <v>59.216666666666669</v>
      </c>
      <c r="Y26" s="59">
        <f>+X26-'[1]2-9'!X26</f>
        <v>0.35000000000000142</v>
      </c>
      <c r="Z26" s="119" t="s">
        <v>65</v>
      </c>
      <c r="AA26" s="120"/>
      <c r="AB26" s="2"/>
      <c r="AC26" s="121"/>
      <c r="AD26" s="122"/>
      <c r="AE26" s="105"/>
    </row>
    <row r="27" spans="1:37" s="4" customFormat="1" ht="17.399999999999999" x14ac:dyDescent="0.3">
      <c r="A27" s="123" t="s">
        <v>66</v>
      </c>
      <c r="B27" s="123"/>
      <c r="C27" s="124"/>
      <c r="D27" s="125">
        <f>SUM(B6:B24)</f>
        <v>22372</v>
      </c>
      <c r="E27" s="126"/>
      <c r="F27" s="127"/>
      <c r="G27" s="128"/>
      <c r="H27" s="129"/>
      <c r="I27" s="129"/>
      <c r="J27" s="130"/>
      <c r="K27" s="99"/>
      <c r="L27" s="99"/>
      <c r="M27" s="99"/>
      <c r="N27" s="131"/>
      <c r="O27" s="99"/>
      <c r="P27" s="99"/>
      <c r="Q27" s="99"/>
      <c r="R27" s="99"/>
      <c r="S27" s="99"/>
      <c r="T27" s="99"/>
      <c r="U27" s="99"/>
      <c r="V27" s="99"/>
      <c r="W27" s="132"/>
      <c r="X27" s="133"/>
      <c r="Y27" s="134"/>
      <c r="Z27" s="135"/>
      <c r="AA27" s="136"/>
      <c r="AB27" s="137"/>
      <c r="AC27" s="138"/>
      <c r="AD27" s="139"/>
      <c r="AE27" s="105"/>
    </row>
    <row r="28" spans="1:37" s="4" customFormat="1" ht="17.399999999999999" x14ac:dyDescent="0.3">
      <c r="A28" s="140" t="s">
        <v>67</v>
      </c>
      <c r="B28" s="140"/>
      <c r="C28" s="140"/>
      <c r="D28" s="141">
        <f>SUM(C6:C24)</f>
        <v>20397</v>
      </c>
      <c r="E28" s="141"/>
      <c r="F28" s="142"/>
      <c r="G28" s="143"/>
      <c r="H28" s="144"/>
      <c r="I28" s="144"/>
      <c r="J28" s="145"/>
      <c r="K28" s="145"/>
      <c r="L28" s="145"/>
      <c r="M28" s="145"/>
      <c r="N28" s="146"/>
      <c r="O28" s="145"/>
      <c r="P28" s="145"/>
      <c r="Q28" s="145"/>
      <c r="R28" s="145"/>
      <c r="S28" s="145"/>
      <c r="T28" s="145"/>
      <c r="U28" s="145"/>
      <c r="V28" s="145"/>
      <c r="W28" s="117"/>
      <c r="X28" s="147"/>
      <c r="Y28" s="148"/>
      <c r="Z28" s="149"/>
      <c r="AA28" s="149"/>
      <c r="AB28" s="117"/>
      <c r="AC28" s="145"/>
      <c r="AD28" s="139"/>
      <c r="AE28" s="105"/>
    </row>
    <row r="29" spans="1:37" s="4" customFormat="1" ht="17.399999999999999" x14ac:dyDescent="0.3">
      <c r="A29" s="150" t="s">
        <v>68</v>
      </c>
      <c r="B29" s="151"/>
      <c r="C29" s="151"/>
      <c r="D29" s="152"/>
      <c r="E29" s="151"/>
      <c r="F29" s="145"/>
      <c r="G29" s="153">
        <f>+X33/O34*100</f>
        <v>87.096141589449431</v>
      </c>
      <c r="H29" s="154"/>
      <c r="I29" s="154"/>
      <c r="J29" s="155"/>
      <c r="K29" s="156"/>
      <c r="L29" s="156"/>
      <c r="M29" s="156"/>
      <c r="N29" s="146"/>
      <c r="O29" s="145"/>
      <c r="P29" s="145"/>
      <c r="Q29" s="145"/>
      <c r="R29" s="145"/>
      <c r="S29" s="145"/>
      <c r="T29" s="145"/>
      <c r="U29" s="145"/>
      <c r="V29" s="145"/>
      <c r="W29" s="117"/>
      <c r="X29" s="147"/>
      <c r="Y29" s="157"/>
      <c r="Z29" s="149"/>
      <c r="AA29" s="149"/>
      <c r="AB29" s="117"/>
      <c r="AC29" s="145"/>
      <c r="AD29" s="139"/>
      <c r="AE29" s="105"/>
    </row>
    <row r="30" spans="1:37" s="4" customFormat="1" x14ac:dyDescent="0.35">
      <c r="A30" s="158" t="s">
        <v>69</v>
      </c>
      <c r="B30" s="158"/>
      <c r="C30" s="158"/>
      <c r="D30" s="158"/>
      <c r="E30" s="158"/>
      <c r="F30" s="158"/>
      <c r="G30" s="159">
        <f>+X31/O35*100</f>
        <v>88.524791359842908</v>
      </c>
      <c r="H30" s="160" t="s">
        <v>70</v>
      </c>
      <c r="I30" s="160"/>
      <c r="J30" s="161"/>
      <c r="K30" s="162"/>
      <c r="L30" s="162"/>
      <c r="M30" s="162"/>
      <c r="N30" s="146"/>
      <c r="O30" s="163"/>
      <c r="P30" s="152"/>
      <c r="Q30" s="152"/>
      <c r="R30" s="152"/>
      <c r="S30" s="152"/>
      <c r="T30" s="152"/>
      <c r="U30" s="152"/>
      <c r="V30" s="152"/>
      <c r="W30" s="146"/>
      <c r="X30" s="164"/>
      <c r="Y30" s="165"/>
      <c r="Z30" s="165"/>
      <c r="AA30" s="149"/>
      <c r="AB30" s="117"/>
      <c r="AC30" s="145"/>
      <c r="AD30" s="166"/>
      <c r="AE30" s="105"/>
    </row>
    <row r="31" spans="1:37" s="4" customFormat="1" x14ac:dyDescent="0.35">
      <c r="A31" s="167" t="s">
        <v>71</v>
      </c>
      <c r="B31" s="167"/>
      <c r="C31" s="167"/>
      <c r="D31" s="168">
        <f>D26</f>
        <v>2549.625</v>
      </c>
      <c r="E31" s="168"/>
      <c r="F31" s="169"/>
      <c r="G31" s="170" t="s">
        <v>72</v>
      </c>
      <c r="H31" s="170"/>
      <c r="I31" s="170"/>
      <c r="J31" s="170"/>
      <c r="K31" s="170"/>
      <c r="L31" s="170"/>
      <c r="M31" s="170"/>
      <c r="N31" s="170"/>
      <c r="O31" s="171">
        <v>0</v>
      </c>
      <c r="P31" s="171"/>
      <c r="Q31" s="172"/>
      <c r="R31" s="173"/>
      <c r="S31" s="172"/>
      <c r="T31" s="173" t="s">
        <v>73</v>
      </c>
      <c r="U31" s="173"/>
      <c r="V31" s="173"/>
      <c r="W31" s="174"/>
      <c r="X31" s="175">
        <f>+X17+X18+X19+X20+X21+X22+X23+X24</f>
        <v>7213</v>
      </c>
      <c r="Y31" s="175"/>
      <c r="Z31" s="176"/>
      <c r="AA31" s="2"/>
      <c r="AB31" s="2"/>
      <c r="AC31" s="2"/>
      <c r="AD31" s="122"/>
      <c r="AE31" s="105"/>
    </row>
    <row r="32" spans="1:37" s="4" customFormat="1" x14ac:dyDescent="0.35">
      <c r="A32" s="177" t="s">
        <v>74</v>
      </c>
      <c r="B32" s="177"/>
      <c r="C32" s="177"/>
      <c r="D32" s="168">
        <v>0</v>
      </c>
      <c r="E32" s="168"/>
      <c r="F32" s="169"/>
      <c r="G32" s="178" t="s">
        <v>75</v>
      </c>
      <c r="H32" s="178"/>
      <c r="I32" s="178"/>
      <c r="J32" s="178"/>
      <c r="K32" s="178"/>
      <c r="L32" s="178"/>
      <c r="M32" s="178"/>
      <c r="N32" s="179"/>
      <c r="O32" s="180">
        <f>+C17+C18+C19+C20+C21+C22+C23+C24+C6+C7+C8+C9+C10+C11+C12+C13+C14+C15+C16</f>
        <v>20397</v>
      </c>
      <c r="P32" s="180"/>
      <c r="Q32" s="172"/>
      <c r="R32" s="173"/>
      <c r="S32" s="172"/>
      <c r="T32" s="173" t="s">
        <v>76</v>
      </c>
      <c r="U32" s="173"/>
      <c r="V32" s="173"/>
      <c r="W32" s="174"/>
      <c r="X32" s="175">
        <f>+X6+X7+X8+X10+X9+X11+X12+X13+X14+X15+X16</f>
        <v>10552</v>
      </c>
      <c r="Y32" s="175"/>
      <c r="Z32" s="176"/>
      <c r="AB32" s="2"/>
      <c r="AC32" s="2"/>
      <c r="AD32" s="2"/>
      <c r="AE32" s="105"/>
    </row>
    <row r="33" spans="1:33" s="4" customFormat="1" x14ac:dyDescent="0.35">
      <c r="A33" s="181" t="s">
        <v>77</v>
      </c>
      <c r="B33" s="181"/>
      <c r="C33" s="181"/>
      <c r="D33" s="182">
        <v>0</v>
      </c>
      <c r="E33" s="182"/>
      <c r="F33" s="183"/>
      <c r="G33" s="184" t="s">
        <v>78</v>
      </c>
      <c r="H33" s="184"/>
      <c r="I33" s="184"/>
      <c r="J33" s="184"/>
      <c r="K33" s="184"/>
      <c r="L33" s="184"/>
      <c r="M33" s="184"/>
      <c r="N33" s="185"/>
      <c r="O33" s="180"/>
      <c r="P33" s="180"/>
      <c r="Q33" s="186"/>
      <c r="R33" s="186"/>
      <c r="S33" s="186"/>
      <c r="T33" s="186"/>
      <c r="U33" s="186"/>
      <c r="V33" s="186"/>
      <c r="W33" s="176"/>
      <c r="X33" s="187">
        <f>+X32+X31</f>
        <v>17765</v>
      </c>
      <c r="Y33" s="187"/>
      <c r="Z33" s="176"/>
      <c r="AA33" s="122"/>
      <c r="AB33" s="188" t="s">
        <v>79</v>
      </c>
      <c r="AC33" s="2"/>
      <c r="AD33" s="2"/>
      <c r="AE33" s="105"/>
    </row>
    <row r="34" spans="1:33" s="4" customFormat="1" x14ac:dyDescent="0.35">
      <c r="A34" s="189" t="s">
        <v>80</v>
      </c>
      <c r="B34" s="189"/>
      <c r="C34" s="189"/>
      <c r="D34" s="182">
        <f>SUM(K6:K24)</f>
        <v>2549.625</v>
      </c>
      <c r="E34" s="182"/>
      <c r="F34" s="186"/>
      <c r="G34" s="190" t="s">
        <v>81</v>
      </c>
      <c r="H34" s="190"/>
      <c r="I34" s="190"/>
      <c r="J34" s="190"/>
      <c r="K34" s="190"/>
      <c r="L34" s="190"/>
      <c r="M34" s="190"/>
      <c r="N34" s="185"/>
      <c r="O34" s="180">
        <f>O31+O32+O33</f>
        <v>20397</v>
      </c>
      <c r="P34" s="180"/>
      <c r="Q34" s="191" t="s">
        <v>82</v>
      </c>
      <c r="R34" s="191"/>
      <c r="S34" s="191"/>
      <c r="T34" s="191"/>
      <c r="U34" s="191"/>
      <c r="V34" s="191"/>
      <c r="W34" s="191"/>
      <c r="X34" s="191"/>
      <c r="Y34" s="176"/>
      <c r="Z34" s="176"/>
      <c r="AA34" s="2"/>
      <c r="AB34" s="2"/>
      <c r="AC34" s="2"/>
      <c r="AD34" s="2"/>
      <c r="AE34" s="105"/>
    </row>
    <row r="35" spans="1:33" s="4" customFormat="1" x14ac:dyDescent="0.35">
      <c r="A35" s="192"/>
      <c r="B35" s="192"/>
      <c r="C35" s="192"/>
      <c r="D35" s="168"/>
      <c r="E35" s="168"/>
      <c r="F35" s="186"/>
      <c r="G35" s="193" t="s">
        <v>83</v>
      </c>
      <c r="H35" s="193"/>
      <c r="I35" s="193"/>
      <c r="J35" s="193"/>
      <c r="K35" s="193"/>
      <c r="L35" s="193"/>
      <c r="M35" s="194"/>
      <c r="N35" s="195"/>
      <c r="O35" s="196">
        <f>SUM(C17:C24)</f>
        <v>8148</v>
      </c>
      <c r="P35" s="196"/>
      <c r="Q35" s="186"/>
      <c r="R35" s="186"/>
      <c r="S35" s="186"/>
      <c r="T35" s="186"/>
      <c r="U35" s="186"/>
      <c r="V35" s="186"/>
      <c r="W35" s="176"/>
      <c r="X35" s="197"/>
      <c r="Y35" s="176"/>
      <c r="Z35" s="176"/>
      <c r="AA35" s="2"/>
      <c r="AB35" s="2"/>
      <c r="AC35" s="2"/>
      <c r="AD35" s="2"/>
      <c r="AE35" s="105"/>
    </row>
    <row r="36" spans="1:33" s="4" customFormat="1" x14ac:dyDescent="0.35">
      <c r="A36" s="198"/>
      <c r="B36" s="198"/>
      <c r="C36" s="198"/>
      <c r="D36" s="169"/>
      <c r="E36" s="169"/>
      <c r="F36" s="186"/>
      <c r="G36" s="193" t="s">
        <v>84</v>
      </c>
      <c r="H36" s="193"/>
      <c r="I36" s="193"/>
      <c r="J36" s="193"/>
      <c r="K36" s="193"/>
      <c r="L36" s="193"/>
      <c r="M36" s="194"/>
      <c r="N36" s="195"/>
      <c r="O36" s="196">
        <f>+C6+C7+C8+C9+C10+C11+C12+C13+C14+C15+C16</f>
        <v>12249</v>
      </c>
      <c r="P36" s="196"/>
      <c r="Q36" s="186"/>
      <c r="R36" s="186"/>
      <c r="S36" s="186"/>
      <c r="T36" s="186"/>
      <c r="U36" s="186"/>
      <c r="V36" s="186"/>
      <c r="W36" s="176"/>
      <c r="X36" s="197"/>
      <c r="Y36" s="176"/>
      <c r="Z36" s="176"/>
      <c r="AA36" s="2"/>
      <c r="AB36" s="2"/>
      <c r="AC36" s="2"/>
      <c r="AD36" s="2"/>
      <c r="AE36" s="105"/>
    </row>
    <row r="37" spans="1:33" s="4" customFormat="1" x14ac:dyDescent="0.35">
      <c r="A37" s="198"/>
      <c r="B37" s="198"/>
      <c r="C37" s="198"/>
      <c r="D37" s="169"/>
      <c r="E37" s="169"/>
      <c r="F37" s="186"/>
      <c r="G37" s="199"/>
      <c r="H37" s="199"/>
      <c r="I37" s="199"/>
      <c r="J37" s="199"/>
      <c r="K37" s="199"/>
      <c r="L37" s="199"/>
      <c r="M37" s="194"/>
      <c r="N37" s="195"/>
      <c r="O37" s="194"/>
      <c r="P37" s="194"/>
      <c r="Q37" s="186"/>
      <c r="R37" s="186"/>
      <c r="S37" s="186"/>
      <c r="T37" s="186"/>
      <c r="U37" s="186"/>
      <c r="V37" s="186"/>
      <c r="W37" s="176"/>
      <c r="X37" s="197"/>
      <c r="Y37" s="176"/>
      <c r="Z37" s="176"/>
      <c r="AA37" s="2"/>
      <c r="AB37" s="2"/>
      <c r="AC37" s="2"/>
      <c r="AD37" s="2"/>
      <c r="AE37" s="105"/>
    </row>
    <row r="38" spans="1:33" s="4" customFormat="1" x14ac:dyDescent="0.35">
      <c r="A38" s="200" t="s">
        <v>85</v>
      </c>
      <c r="B38" s="200"/>
      <c r="C38" s="200"/>
      <c r="D38" s="201">
        <f>+X17+X18++X19+X20+X21+X22+X23+X24+X6+X7+X8+X9+X10+X11+X12+X13+X14+X15+X16</f>
        <v>17765</v>
      </c>
      <c r="E38" s="201"/>
      <c r="F38" s="201"/>
      <c r="G38" s="202" t="s">
        <v>86</v>
      </c>
      <c r="H38" s="203">
        <f>+D38-17660</f>
        <v>105</v>
      </c>
      <c r="I38" s="203"/>
      <c r="J38" s="203"/>
      <c r="K38" s="204" t="s">
        <v>87</v>
      </c>
      <c r="L38" s="204"/>
      <c r="M38" s="205"/>
      <c r="N38" s="176"/>
      <c r="O38" s="186"/>
      <c r="P38" s="173"/>
      <c r="Q38" s="206" t="str">
        <f>A3</f>
        <v>Hari/Tanggal : KAMIS, 3 SEPTEMBER 2026</v>
      </c>
      <c r="R38" s="206"/>
      <c r="S38" s="206"/>
      <c r="T38" s="206"/>
      <c r="U38" s="206"/>
      <c r="V38" s="206"/>
      <c r="W38" s="207"/>
      <c r="X38" s="206"/>
      <c r="Y38" s="206"/>
      <c r="Z38" s="206"/>
      <c r="AA38" s="208"/>
      <c r="AB38" s="188" t="s">
        <v>88</v>
      </c>
      <c r="AC38" s="2"/>
      <c r="AD38" s="2"/>
      <c r="AE38" s="105"/>
    </row>
    <row r="39" spans="1:33" s="4" customFormat="1" x14ac:dyDescent="0.35">
      <c r="A39" s="181"/>
      <c r="B39" s="181"/>
      <c r="C39" s="181"/>
      <c r="D39" s="209"/>
      <c r="E39" s="209"/>
      <c r="F39" s="209"/>
      <c r="G39" s="210"/>
      <c r="H39" s="209"/>
      <c r="I39" s="209"/>
      <c r="J39" s="209"/>
      <c r="K39" s="204"/>
      <c r="L39" s="204"/>
      <c r="M39" s="205"/>
      <c r="N39" s="176"/>
      <c r="O39" s="186"/>
      <c r="P39" s="186"/>
      <c r="Q39" s="205"/>
      <c r="R39" s="186"/>
      <c r="S39" s="186"/>
      <c r="T39" s="186"/>
      <c r="U39" s="186"/>
      <c r="V39" s="186"/>
      <c r="W39" s="176"/>
      <c r="X39" s="197"/>
      <c r="Y39" s="176"/>
      <c r="Z39" s="176"/>
      <c r="AA39" s="2"/>
      <c r="AB39" s="2"/>
      <c r="AC39" s="2"/>
      <c r="AD39" s="2"/>
      <c r="AE39" s="211"/>
    </row>
    <row r="40" spans="1:33" s="4" customFormat="1" x14ac:dyDescent="0.35">
      <c r="A40" s="181" t="s">
        <v>89</v>
      </c>
      <c r="B40" s="181"/>
      <c r="C40" s="181"/>
      <c r="D40" s="175">
        <v>0</v>
      </c>
      <c r="E40" s="175"/>
      <c r="F40" s="175"/>
      <c r="G40" s="210" t="s">
        <v>86</v>
      </c>
      <c r="H40" s="175">
        <f>+D40-0</f>
        <v>0</v>
      </c>
      <c r="I40" s="175"/>
      <c r="J40" s="175"/>
      <c r="K40" s="204" t="s">
        <v>87</v>
      </c>
      <c r="L40" s="204"/>
      <c r="M40" s="205"/>
      <c r="N40" s="176"/>
      <c r="O40" s="204"/>
      <c r="P40" s="204"/>
      <c r="Q40" s="212" t="s">
        <v>90</v>
      </c>
      <c r="R40" s="212"/>
      <c r="S40" s="212"/>
      <c r="T40" s="212"/>
      <c r="U40" s="212"/>
      <c r="V40" s="212"/>
      <c r="W40" s="212"/>
      <c r="X40" s="213">
        <f>SUM(C6:C24)</f>
        <v>20397</v>
      </c>
      <c r="Y40" s="213"/>
      <c r="Z40" s="176"/>
      <c r="AA40" s="122"/>
      <c r="AB40" s="2"/>
      <c r="AC40" s="2"/>
      <c r="AD40" s="2"/>
      <c r="AE40" s="214"/>
    </row>
    <row r="41" spans="1:33" s="4" customFormat="1" x14ac:dyDescent="0.35">
      <c r="A41" s="177" t="s">
        <v>91</v>
      </c>
      <c r="B41" s="177"/>
      <c r="C41" s="177"/>
      <c r="D41" s="215">
        <f>D38+D39+D40</f>
        <v>17765</v>
      </c>
      <c r="E41" s="215"/>
      <c r="F41" s="215"/>
      <c r="G41" s="216" t="s">
        <v>86</v>
      </c>
      <c r="H41" s="215">
        <f>SUM(H38:J40)</f>
        <v>105</v>
      </c>
      <c r="I41" s="215"/>
      <c r="J41" s="215"/>
      <c r="K41" s="204" t="s">
        <v>87</v>
      </c>
      <c r="L41" s="204"/>
      <c r="M41" s="205"/>
      <c r="N41" s="176"/>
      <c r="O41" s="204"/>
      <c r="P41" s="204"/>
      <c r="Q41" s="217" t="s">
        <v>92</v>
      </c>
      <c r="R41" s="217"/>
      <c r="S41" s="217"/>
      <c r="T41" s="217"/>
      <c r="U41" s="217"/>
      <c r="V41" s="217"/>
      <c r="W41" s="217"/>
      <c r="X41" s="218"/>
      <c r="Y41" s="218"/>
      <c r="Z41" s="176"/>
      <c r="AA41" s="2"/>
      <c r="AB41" s="2"/>
      <c r="AC41" s="2"/>
      <c r="AD41" s="2"/>
      <c r="AE41" s="214"/>
    </row>
    <row r="42" spans="1:33" s="4" customFormat="1" x14ac:dyDescent="0.35">
      <c r="A42" s="219" t="s">
        <v>93</v>
      </c>
      <c r="B42" s="219"/>
      <c r="C42" s="219"/>
      <c r="D42" s="220">
        <f>D25</f>
        <v>0</v>
      </c>
      <c r="E42" s="220"/>
      <c r="F42" s="168">
        <f>F39+F40+F41</f>
        <v>0</v>
      </c>
      <c r="G42" s="168"/>
      <c r="H42" s="221"/>
      <c r="I42" s="221"/>
      <c r="J42" s="222"/>
      <c r="K42" s="204"/>
      <c r="L42" s="205"/>
      <c r="M42" s="205"/>
      <c r="N42" s="176"/>
      <c r="O42" s="186"/>
      <c r="P42" s="186"/>
      <c r="Q42" s="200" t="s">
        <v>62</v>
      </c>
      <c r="R42" s="200"/>
      <c r="S42" s="200"/>
      <c r="T42" s="200"/>
      <c r="U42" s="200"/>
      <c r="V42" s="200"/>
      <c r="W42" s="200"/>
      <c r="X42" s="223">
        <f>SUM(X40:Y41)</f>
        <v>20397</v>
      </c>
      <c r="Y42" s="223"/>
      <c r="Z42" s="176"/>
      <c r="AA42" s="2"/>
      <c r="AB42" s="2"/>
      <c r="AC42" s="2"/>
      <c r="AD42" s="2"/>
      <c r="AE42" s="208"/>
    </row>
    <row r="43" spans="1:33" s="4" customFormat="1" x14ac:dyDescent="0.35">
      <c r="A43" s="219" t="s">
        <v>94</v>
      </c>
      <c r="B43" s="219"/>
      <c r="C43" s="219"/>
      <c r="D43" s="220">
        <v>0</v>
      </c>
      <c r="E43" s="220"/>
      <c r="F43" s="224"/>
      <c r="G43" s="224"/>
      <c r="H43" s="221"/>
      <c r="I43" s="221"/>
      <c r="J43" s="222"/>
      <c r="K43" s="204"/>
      <c r="L43" s="225"/>
      <c r="M43" s="225"/>
      <c r="N43" s="225"/>
      <c r="O43" s="225"/>
      <c r="P43" s="225"/>
      <c r="Q43" s="225"/>
      <c r="R43" s="225"/>
      <c r="S43" s="225"/>
      <c r="T43" s="225"/>
      <c r="U43" s="183"/>
      <c r="V43" s="183"/>
      <c r="W43" s="226"/>
      <c r="X43" s="227"/>
      <c r="Y43" s="226"/>
      <c r="Z43" s="226"/>
      <c r="AA43" s="228"/>
      <c r="AB43" s="2"/>
      <c r="AC43" s="2"/>
      <c r="AD43" s="2"/>
      <c r="AE43" s="229"/>
    </row>
    <row r="44" spans="1:33" s="4" customFormat="1" x14ac:dyDescent="0.35">
      <c r="A44" s="230" t="s">
        <v>95</v>
      </c>
      <c r="B44" s="230"/>
      <c r="C44" s="230"/>
      <c r="D44" s="220">
        <f>+E25</f>
        <v>0</v>
      </c>
      <c r="E44" s="220"/>
      <c r="F44" s="224" t="s">
        <v>96</v>
      </c>
      <c r="G44" s="224"/>
      <c r="H44" s="204"/>
      <c r="I44" s="204"/>
      <c r="J44" s="231" t="s">
        <v>97</v>
      </c>
      <c r="K44" s="231"/>
      <c r="L44" s="231"/>
      <c r="M44" s="231"/>
      <c r="N44" s="231"/>
      <c r="O44" s="231"/>
      <c r="P44" s="231"/>
      <c r="Q44" s="231"/>
      <c r="R44" s="231"/>
      <c r="S44" s="232"/>
      <c r="T44" s="232"/>
      <c r="U44" s="233"/>
      <c r="V44" s="234"/>
      <c r="W44" s="233"/>
      <c r="X44" s="233"/>
      <c r="Y44" s="235"/>
      <c r="Z44" s="236"/>
      <c r="AA44" s="237"/>
      <c r="AB44" s="238"/>
      <c r="AC44" s="238"/>
      <c r="AD44" s="239"/>
      <c r="AE44" s="229"/>
      <c r="AG44" s="240"/>
    </row>
    <row r="45" spans="1:33" s="4" customFormat="1" ht="21" x14ac:dyDescent="0.4">
      <c r="A45" s="241"/>
      <c r="B45" s="241"/>
      <c r="C45" s="241"/>
      <c r="D45" s="242"/>
      <c r="E45" s="243"/>
      <c r="F45" s="244"/>
      <c r="G45" s="244"/>
      <c r="H45" s="245"/>
      <c r="I45" s="245"/>
      <c r="J45" s="246"/>
      <c r="K45" s="247"/>
      <c r="L45" s="247"/>
      <c r="M45" s="248"/>
      <c r="N45" s="236"/>
      <c r="O45" s="248"/>
      <c r="P45" s="248"/>
      <c r="Q45" s="248"/>
      <c r="R45" s="248"/>
      <c r="S45" s="249"/>
      <c r="T45" s="249"/>
      <c r="U45" s="249"/>
      <c r="V45" s="249"/>
      <c r="W45" s="250"/>
      <c r="X45" s="251"/>
      <c r="Y45" s="250"/>
      <c r="Z45" s="250"/>
      <c r="AA45" s="250"/>
      <c r="AB45" s="252"/>
      <c r="AC45" s="252"/>
      <c r="AD45" s="2"/>
      <c r="AE45" s="229"/>
    </row>
    <row r="46" spans="1:33" x14ac:dyDescent="0.35">
      <c r="G46" s="253"/>
      <c r="Z46" s="240"/>
      <c r="AE46" s="70"/>
    </row>
    <row r="47" spans="1:33" x14ac:dyDescent="0.35">
      <c r="G47" s="253"/>
      <c r="J47" s="122"/>
      <c r="S47" s="256"/>
      <c r="Z47" s="240"/>
    </row>
    <row r="48" spans="1:33" s="122" customFormat="1" ht="33.6" x14ac:dyDescent="0.65">
      <c r="D48" s="186"/>
      <c r="G48" s="257"/>
      <c r="H48" s="254"/>
      <c r="I48" s="254"/>
      <c r="J48" s="2"/>
      <c r="N48" s="176"/>
      <c r="U48" s="258"/>
      <c r="W48" s="2"/>
      <c r="X48" s="255"/>
    </row>
    <row r="49" spans="4:24" s="122" customFormat="1" x14ac:dyDescent="0.35">
      <c r="D49" s="186"/>
      <c r="G49" s="253"/>
      <c r="H49" s="254"/>
      <c r="I49" s="254"/>
      <c r="J49" s="2"/>
      <c r="N49" s="176"/>
      <c r="U49" s="256"/>
      <c r="W49" s="2"/>
      <c r="X49" s="255"/>
    </row>
    <row r="53" spans="4:24" s="2" customFormat="1" x14ac:dyDescent="0.35">
      <c r="D53" s="186"/>
      <c r="E53" s="122"/>
      <c r="F53" s="122"/>
      <c r="G53" s="259"/>
      <c r="H53" s="254"/>
      <c r="I53" s="254"/>
      <c r="K53" s="122"/>
      <c r="L53" s="122"/>
      <c r="M53" s="122"/>
      <c r="N53" s="176"/>
      <c r="O53" s="122"/>
      <c r="P53" s="122"/>
      <c r="Q53" s="122"/>
      <c r="R53" s="122"/>
      <c r="S53" s="122"/>
      <c r="T53" s="122"/>
      <c r="U53" s="122">
        <f>10*30</f>
        <v>300</v>
      </c>
      <c r="V53" s="122"/>
      <c r="X53" s="255"/>
    </row>
  </sheetData>
  <mergeCells count="70">
    <mergeCell ref="D44:E44"/>
    <mergeCell ref="F44:G44"/>
    <mergeCell ref="A42:C42"/>
    <mergeCell ref="D42:E42"/>
    <mergeCell ref="F42:G42"/>
    <mergeCell ref="Q42:W42"/>
    <mergeCell ref="X42:Y42"/>
    <mergeCell ref="A43:C43"/>
    <mergeCell ref="D43:E43"/>
    <mergeCell ref="F43:G43"/>
    <mergeCell ref="A40:C40"/>
    <mergeCell ref="D40:F40"/>
    <mergeCell ref="H40:J40"/>
    <mergeCell ref="Q40:W40"/>
    <mergeCell ref="X40:Y40"/>
    <mergeCell ref="A41:C41"/>
    <mergeCell ref="D41:F41"/>
    <mergeCell ref="H41:J41"/>
    <mergeCell ref="Q41:W41"/>
    <mergeCell ref="X41:Y41"/>
    <mergeCell ref="A38:C38"/>
    <mergeCell ref="D38:F38"/>
    <mergeCell ref="H38:J38"/>
    <mergeCell ref="A39:C39"/>
    <mergeCell ref="D39:F39"/>
    <mergeCell ref="H39:J39"/>
    <mergeCell ref="A35:C35"/>
    <mergeCell ref="D35:E35"/>
    <mergeCell ref="G35:L35"/>
    <mergeCell ref="O35:P35"/>
    <mergeCell ref="G36:L36"/>
    <mergeCell ref="O36:P36"/>
    <mergeCell ref="A33:C33"/>
    <mergeCell ref="D33:E33"/>
    <mergeCell ref="O33:P33"/>
    <mergeCell ref="X33:Y33"/>
    <mergeCell ref="A34:C34"/>
    <mergeCell ref="D34:E34"/>
    <mergeCell ref="G34:M34"/>
    <mergeCell ref="O34:P34"/>
    <mergeCell ref="Q34:V34"/>
    <mergeCell ref="W34:X34"/>
    <mergeCell ref="O31:P31"/>
    <mergeCell ref="X31:Y31"/>
    <mergeCell ref="A32:C32"/>
    <mergeCell ref="D32:E32"/>
    <mergeCell ref="O32:P32"/>
    <mergeCell ref="X32:Y32"/>
    <mergeCell ref="A28:C28"/>
    <mergeCell ref="D28:E28"/>
    <mergeCell ref="A30:F30"/>
    <mergeCell ref="A31:C31"/>
    <mergeCell ref="D31:E31"/>
    <mergeCell ref="G31:N31"/>
    <mergeCell ref="P4:AA4"/>
    <mergeCell ref="AB4:AC4"/>
    <mergeCell ref="D26:E26"/>
    <mergeCell ref="Z26:AA26"/>
    <mergeCell ref="D27:E27"/>
    <mergeCell ref="Z27:AA27"/>
    <mergeCell ref="A1:AC1"/>
    <mergeCell ref="A2:AC2"/>
    <mergeCell ref="A3:E3"/>
    <mergeCell ref="G3:I3"/>
    <mergeCell ref="A4:A5"/>
    <mergeCell ref="B4:B5"/>
    <mergeCell ref="C4:F4"/>
    <mergeCell ref="G4:I4"/>
    <mergeCell ref="J4:M4"/>
    <mergeCell ref="N4:O4"/>
  </mergeCells>
  <pageMargins left="0.39370078740157499" right="0" top="0.74803149606299202" bottom="0.74803149606299202" header="0.31496062992126" footer="0.31496062992126"/>
  <pageSetup paperSize="9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3-9</vt:lpstr>
      <vt:lpstr>'3-9'!Print_Area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CHAN</dc:creator>
  <cp:lastModifiedBy>ARIF CHAN</cp:lastModifiedBy>
  <dcterms:created xsi:type="dcterms:W3CDTF">2026-09-03T10:48:28Z</dcterms:created>
  <dcterms:modified xsi:type="dcterms:W3CDTF">2026-09-03T10:48:43Z</dcterms:modified>
</cp:coreProperties>
</file>