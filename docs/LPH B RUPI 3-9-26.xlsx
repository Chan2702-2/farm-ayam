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\Downloads\LPH 3-9-26\"/>
    </mc:Choice>
  </mc:AlternateContent>
  <xr:revisionPtr revIDLastSave="0" documentId="8_{6A3AD537-C365-49E9-8C56-372996C37D59}" xr6:coauthVersionLast="47" xr6:coauthVersionMax="47" xr10:uidLastSave="{00000000-0000-0000-0000-000000000000}"/>
  <bookViews>
    <workbookView xWindow="-108" yWindow="-108" windowWidth="23256" windowHeight="13176" xr2:uid="{710392CE-634F-46E1-BC3E-C6481B0CD6F2}"/>
  </bookViews>
  <sheets>
    <sheet name="3-9" sheetId="1" r:id="rId1"/>
  </sheets>
  <externalReferences>
    <externalReference r:id="rId2"/>
  </externalReferences>
  <definedNames>
    <definedName name="_xlnm.Print_Area" localSheetId="0">'3-9'!$A$1:$AC$37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0" i="1" l="1"/>
  <c r="D38" i="1"/>
  <c r="P37" i="1"/>
  <c r="H34" i="1"/>
  <c r="AA31" i="1"/>
  <c r="E22" i="1"/>
  <c r="W20" i="1"/>
  <c r="V20" i="1"/>
  <c r="U20" i="1"/>
  <c r="T20" i="1"/>
  <c r="S20" i="1"/>
  <c r="R20" i="1"/>
  <c r="Q20" i="1"/>
  <c r="P20" i="1"/>
  <c r="E20" i="1"/>
  <c r="D20" i="1"/>
  <c r="X19" i="1"/>
  <c r="Z27" i="1" s="1"/>
  <c r="C19" i="1"/>
  <c r="K19" i="1" s="1"/>
  <c r="X18" i="1"/>
  <c r="Y18" i="1" s="1"/>
  <c r="K18" i="1"/>
  <c r="C18" i="1"/>
  <c r="X17" i="1"/>
  <c r="Z17" i="1" s="1"/>
  <c r="C17" i="1"/>
  <c r="K17" i="1" s="1"/>
  <c r="Z16" i="1"/>
  <c r="Y16" i="1"/>
  <c r="X16" i="1"/>
  <c r="K16" i="1"/>
  <c r="C16" i="1"/>
  <c r="X15" i="1"/>
  <c r="Y15" i="1" s="1"/>
  <c r="C15" i="1"/>
  <c r="Z15" i="1" s="1"/>
  <c r="Z14" i="1"/>
  <c r="X14" i="1"/>
  <c r="Y14" i="1" s="1"/>
  <c r="K14" i="1"/>
  <c r="C14" i="1"/>
  <c r="X13" i="1"/>
  <c r="Z13" i="1" s="1"/>
  <c r="K13" i="1"/>
  <c r="C13" i="1"/>
  <c r="Z12" i="1"/>
  <c r="AF12" i="1" s="1"/>
  <c r="Y12" i="1"/>
  <c r="X12" i="1"/>
  <c r="K12" i="1"/>
  <c r="C12" i="1"/>
  <c r="X11" i="1"/>
  <c r="Z11" i="1" s="1"/>
  <c r="AF11" i="1" s="1"/>
  <c r="C11" i="1"/>
  <c r="K11" i="1" s="1"/>
  <c r="AA10" i="1"/>
  <c r="AA11" i="1" s="1"/>
  <c r="AA12" i="1" s="1"/>
  <c r="AA13" i="1" s="1"/>
  <c r="AA14" i="1" s="1"/>
  <c r="Z10" i="1"/>
  <c r="AF10" i="1" s="1"/>
  <c r="Y10" i="1"/>
  <c r="X10" i="1"/>
  <c r="H10" i="1"/>
  <c r="H11" i="1" s="1"/>
  <c r="H12" i="1" s="1"/>
  <c r="H13" i="1" s="1"/>
  <c r="H14" i="1" s="1"/>
  <c r="H15" i="1" s="1"/>
  <c r="H16" i="1" s="1"/>
  <c r="H17" i="1" s="1"/>
  <c r="H18" i="1" s="1"/>
  <c r="H19" i="1" s="1"/>
  <c r="C10" i="1"/>
  <c r="K10" i="1" s="1"/>
  <c r="AA9" i="1"/>
  <c r="X9" i="1"/>
  <c r="Z9" i="1" s="1"/>
  <c r="AF9" i="1" s="1"/>
  <c r="K9" i="1"/>
  <c r="H9" i="1"/>
  <c r="C9" i="1"/>
  <c r="AA8" i="1"/>
  <c r="X8" i="1"/>
  <c r="Z8" i="1" s="1"/>
  <c r="AF8" i="1" s="1"/>
  <c r="O8" i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H8" i="1"/>
  <c r="C8" i="1"/>
  <c r="K8" i="1" s="1"/>
  <c r="AA7" i="1"/>
  <c r="X7" i="1"/>
  <c r="Y7" i="1" s="1"/>
  <c r="O7" i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K7" i="1"/>
  <c r="J7" i="1"/>
  <c r="I7" i="1"/>
  <c r="H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C7" i="1"/>
  <c r="Y6" i="1"/>
  <c r="X6" i="1"/>
  <c r="X20" i="1" s="1"/>
  <c r="C6" i="1"/>
  <c r="N28" i="1" s="1"/>
  <c r="N30" i="1" s="1"/>
  <c r="Y20" i="1" l="1"/>
  <c r="G24" i="1"/>
  <c r="X21" i="1"/>
  <c r="AF15" i="1"/>
  <c r="AF17" i="1"/>
  <c r="Z21" i="1"/>
  <c r="AF13" i="1"/>
  <c r="AF16" i="1"/>
  <c r="AF14" i="1"/>
  <c r="AA15" i="1"/>
  <c r="AA16" i="1" s="1"/>
  <c r="AA17" i="1" s="1"/>
  <c r="AA18" i="1" s="1"/>
  <c r="AA19" i="1" s="1"/>
  <c r="Y11" i="1"/>
  <c r="N31" i="1"/>
  <c r="Y17" i="1"/>
  <c r="Z7" i="1"/>
  <c r="AF7" i="1" s="1"/>
  <c r="Y13" i="1"/>
  <c r="K15" i="1"/>
  <c r="D28" i="1" s="1"/>
  <c r="Z18" i="1"/>
  <c r="AF18" i="1" s="1"/>
  <c r="E23" i="1"/>
  <c r="Y8" i="1"/>
  <c r="Y19" i="1"/>
  <c r="D35" i="1"/>
  <c r="Z19" i="1"/>
  <c r="AF19" i="1" s="1"/>
  <c r="K6" i="1"/>
  <c r="Z6" i="1"/>
  <c r="AF6" i="1" s="1"/>
  <c r="Y9" i="1"/>
  <c r="E21" i="1" l="1"/>
  <c r="G25" i="1"/>
  <c r="Y21" i="1"/>
  <c r="D37" i="1"/>
  <c r="H35" i="1"/>
  <c r="H37" i="1" s="1"/>
</calcChain>
</file>

<file path=xl/sharedStrings.xml><?xml version="1.0" encoding="utf-8"?>
<sst xmlns="http://schemas.openxmlformats.org/spreadsheetml/2006/main" count="109" uniqueCount="85">
  <si>
    <t>LAPORAN HARIAN PRODUKSI TELUR</t>
  </si>
  <si>
    <t>YUKI FARM</t>
  </si>
  <si>
    <t>TANGGAL : KAMIS, 3 SEPTEMBER 2026 (BALAI RUPIH)</t>
  </si>
  <si>
    <t>KANDANG</t>
  </si>
  <si>
    <t>Kapasitas</t>
  </si>
  <si>
    <t>JUMLAH AYAM</t>
  </si>
  <si>
    <t>UMUR</t>
  </si>
  <si>
    <t xml:space="preserve">    </t>
  </si>
  <si>
    <t>Berat badan</t>
  </si>
  <si>
    <t>PRODUKSI TELUR</t>
  </si>
  <si>
    <t>Hidup</t>
  </si>
  <si>
    <t>mati</t>
  </si>
  <si>
    <t>AFKIR</t>
  </si>
  <si>
    <t>pindah</t>
  </si>
  <si>
    <t>MASUK</t>
  </si>
  <si>
    <t>Mgg</t>
  </si>
  <si>
    <t>Bln</t>
  </si>
  <si>
    <t>Jenis</t>
  </si>
  <si>
    <t>Ttl/Kd(kg)ekr/gr</t>
  </si>
  <si>
    <t>Ekor/Gr</t>
  </si>
  <si>
    <t>Stdr/Ekor(Gr)</t>
  </si>
  <si>
    <t>Stdr/Gr</t>
  </si>
  <si>
    <t>Pagi</t>
  </si>
  <si>
    <t>SORE</t>
  </si>
  <si>
    <t>BTR</t>
  </si>
  <si>
    <t>retak</t>
  </si>
  <si>
    <t>kotor/ putih</t>
  </si>
  <si>
    <t>K</t>
  </si>
  <si>
    <t>R</t>
  </si>
  <si>
    <t>L</t>
  </si>
  <si>
    <t>TOTAL</t>
  </si>
  <si>
    <t>Ket</t>
  </si>
  <si>
    <t>ACT%</t>
  </si>
  <si>
    <t>STDR</t>
  </si>
  <si>
    <t>OBAT/ VAKSIN</t>
  </si>
  <si>
    <t>LOS A1 SIAF</t>
  </si>
  <si>
    <t xml:space="preserve">SPESIAL </t>
  </si>
  <si>
    <t>SENIN</t>
  </si>
  <si>
    <t>A2 SIAF</t>
  </si>
  <si>
    <t>A3 SIAF</t>
  </si>
  <si>
    <t>OTRALEC</t>
  </si>
  <si>
    <t>A4 SIAF</t>
  </si>
  <si>
    <t>LOS B1 SIAF</t>
  </si>
  <si>
    <t>B2 ULI SIAGIAN</t>
  </si>
  <si>
    <t>B3 TAUFIK</t>
  </si>
  <si>
    <t>B4 TAUFIK</t>
  </si>
  <si>
    <t>B5 TAUFIK</t>
  </si>
  <si>
    <t>LOS C1 SIAF</t>
  </si>
  <si>
    <t>C2 ULI SIAGIAN</t>
  </si>
  <si>
    <t>C3 ULI SIAGIAN</t>
  </si>
  <si>
    <t>C4 ULI SIAGIAN</t>
  </si>
  <si>
    <t>C5 TAUFIK</t>
  </si>
  <si>
    <t xml:space="preserve">                             </t>
  </si>
  <si>
    <t>Total Makanan</t>
  </si>
  <si>
    <t>Total ayam full</t>
  </si>
  <si>
    <t>Total ayam</t>
  </si>
  <si>
    <t>Persen global(Ayam Keseluruhan)</t>
  </si>
  <si>
    <t xml:space="preserve"> </t>
  </si>
  <si>
    <t>persen global(Ayam Produksi &gt; 50%)</t>
  </si>
  <si>
    <t xml:space="preserve">        </t>
  </si>
  <si>
    <t xml:space="preserve">      </t>
  </si>
  <si>
    <t>Total Makanan ;</t>
  </si>
  <si>
    <t>Jumlah Ayam Induk(Umur &gt;15 bulan) :</t>
  </si>
  <si>
    <t>Jumlah telur Ayam &gt;50 %</t>
  </si>
  <si>
    <t>Butir</t>
  </si>
  <si>
    <t>spesial 1</t>
  </si>
  <si>
    <t>Jumlah Ayam gadis(Umur  5-15 bulan) :</t>
  </si>
  <si>
    <t>layer 1 mensana</t>
  </si>
  <si>
    <t>Jumlah Ayam Anak(Umur &gt;5 bulan) :</t>
  </si>
  <si>
    <t>71 Mgg-afkir(Layer 2)</t>
  </si>
  <si>
    <t>Jumlah Ayam Keseluruhan :</t>
  </si>
  <si>
    <t>Grower 10-16 minggu</t>
  </si>
  <si>
    <t>Jumlah Ayam bertelur &gt;50% :</t>
  </si>
  <si>
    <t>17 mg - 3%(preelayer)</t>
  </si>
  <si>
    <t>Telur Ayam ANAK :</t>
  </si>
  <si>
    <t>Dari kemarin</t>
  </si>
  <si>
    <t>Telur Ayam Induk :</t>
  </si>
  <si>
    <t>TURUN</t>
  </si>
  <si>
    <t>Telur Ayam Anak :</t>
  </si>
  <si>
    <t>Produksi global :</t>
  </si>
  <si>
    <t>Total Ayam Mati  :</t>
  </si>
  <si>
    <t>ekor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</si>
  <si>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</si>
  <si>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Ayam ND :</t>
  </si>
  <si>
    <t>Ayam Afkir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</si>
</sst>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41" formatCode="_-* #,##0_-;\-* #,##0_-;_-* &quot;-&quot;_-;_-@_-"/>
    <numFmt numFmtId="164" formatCode="_(* #,##0_);_(* \(#,##0\);_(* &quot;-&quot;_);_(@_)"/>
  </numFmts>
  <fonts count="2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8"/>
      <color rgb="FF254061"/>
      <name val="Times New Roman"/>
      <family val="1"/>
    </font>
    <font>
      <sz val="18"/>
      <color rgb="FF254061"/>
      <name val="Times New Roman"/>
      <family val="1"/>
    </font>
    <font>
      <b/>
      <i/>
      <sz val="14"/>
      <color rgb="FF254061"/>
      <name val="Times New Roman"/>
      <family val="1"/>
    </font>
    <font>
      <b/>
      <sz val="14"/>
      <color rgb="FF254061"/>
      <name val="Times New Roman"/>
      <family val="1"/>
    </font>
    <font>
      <b/>
      <sz val="14"/>
      <color rgb="FF254061"/>
      <name val="Aharoni"/>
      <charset val="177"/>
    </font>
    <font>
      <sz val="14"/>
      <color rgb="FF254061"/>
      <name val="Aharoni"/>
      <charset val="177"/>
    </font>
    <font>
      <b/>
      <i/>
      <sz val="14"/>
      <color rgb="FF254061"/>
      <name val="Aharoni"/>
      <charset val="177"/>
    </font>
    <font>
      <b/>
      <sz val="20"/>
      <color rgb="FF254061"/>
      <name val="Times New Roman"/>
      <family val="1"/>
    </font>
    <font>
      <b/>
      <sz val="20"/>
      <color rgb="FF254061"/>
      <name val="Calibri"/>
      <family val="2"/>
    </font>
    <font>
      <b/>
      <sz val="20"/>
      <color rgb="FF254061"/>
      <name val="Arial Black"/>
      <family val="2"/>
    </font>
    <font>
      <b/>
      <sz val="20"/>
      <name val="Times New Roman"/>
      <family val="1"/>
    </font>
    <font>
      <b/>
      <sz val="20"/>
      <color rgb="FF000000"/>
      <name val="Times New Roman"/>
      <family val="1"/>
    </font>
    <font>
      <sz val="20"/>
      <color rgb="FF000000"/>
      <name val="Calibri"/>
      <family val="2"/>
    </font>
    <font>
      <b/>
      <sz val="18"/>
      <color rgb="FF254061"/>
      <name val="Times New Roman"/>
      <family val="1"/>
    </font>
    <font>
      <sz val="18"/>
      <color rgb="FF254061"/>
      <name val="Calibri"/>
      <family val="2"/>
    </font>
    <font>
      <sz val="18"/>
      <color rgb="FF254061"/>
      <name val="Arial Black"/>
      <family val="2"/>
    </font>
    <font>
      <b/>
      <sz val="16"/>
      <color rgb="FF254061"/>
      <name val="Times New Roman"/>
      <family val="1"/>
    </font>
    <font>
      <b/>
      <sz val="18"/>
      <color rgb="FFFFFFFF"/>
      <name val="Times New Roman"/>
      <family val="1"/>
    </font>
    <font>
      <b/>
      <sz val="20"/>
      <color rgb="FFFFFFFF"/>
      <name val="Times New Roman"/>
      <family val="1"/>
    </font>
    <font>
      <b/>
      <sz val="18"/>
      <color rgb="FF254061"/>
      <name val="Calibri"/>
      <family val="2"/>
    </font>
    <font>
      <sz val="16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E36B0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993300"/>
      </bottom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/>
      <diagonal/>
    </border>
    <border>
      <left style="medium">
        <color rgb="FF993300"/>
      </left>
      <right/>
      <top style="medium">
        <color rgb="FF993300"/>
      </top>
      <bottom style="medium">
        <color rgb="FF993300"/>
      </bottom>
      <diagonal/>
    </border>
    <border>
      <left/>
      <right/>
      <top style="medium">
        <color rgb="FF993300"/>
      </top>
      <bottom style="medium">
        <color rgb="FF993300"/>
      </bottom>
      <diagonal/>
    </border>
    <border>
      <left/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 style="medium">
        <color rgb="FF993300"/>
      </left>
      <right style="medium">
        <color rgb="FF993300"/>
      </right>
      <top/>
      <bottom style="medium">
        <color rgb="FF993300"/>
      </bottom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 style="medium">
        <color rgb="FF963734"/>
      </left>
      <right style="medium">
        <color rgb="FF963734"/>
      </right>
      <top style="medium">
        <color rgb="FF963734"/>
      </top>
      <bottom style="medium">
        <color rgb="FF963734"/>
      </bottom>
      <diagonal/>
    </border>
    <border>
      <left/>
      <right style="thin">
        <color auto="1"/>
      </right>
      <top style="medium">
        <color rgb="FF993300"/>
      </top>
      <bottom style="medium">
        <color rgb="FF993300"/>
      </bottom>
      <diagonal/>
    </border>
  </borders>
  <cellStyleXfs count="4">
    <xf numFmtId="0" fontId="0" fillId="0" borderId="0"/>
    <xf numFmtId="0" fontId="1" fillId="0" borderId="0"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</cellStyleXfs>
  <cellXfs count="137">
    <xf numFmtId="0" fontId="0" fillId="0" borderId="0" xfId="0"/>
    <xf numFmtId="0" fontId="2" fillId="2" borderId="0" xfId="1" applyFont="1" applyFill="1" applyAlignment="1" applyProtection="1">
      <alignment horizontal="center" vertical="center"/>
    </xf>
    <xf numFmtId="0" fontId="1" fillId="0" borderId="0" xfId="1" applyProtection="1"/>
    <xf numFmtId="0" fontId="2" fillId="0" borderId="0" xfId="1" applyFont="1" applyAlignment="1" applyProtection="1">
      <alignment horizontal="center"/>
    </xf>
    <xf numFmtId="0" fontId="2" fillId="0" borderId="1" xfId="1" applyFont="1" applyBorder="1" applyAlignment="1" applyProtection="1">
      <alignment horizontal="left"/>
    </xf>
    <xf numFmtId="0" fontId="3" fillId="0" borderId="0" xfId="1" applyFont="1" applyProtection="1"/>
    <xf numFmtId="0" fontId="3" fillId="0" borderId="0" xfId="1" applyFont="1" applyAlignment="1" applyProtection="1">
      <alignment horizontal="center"/>
    </xf>
    <xf numFmtId="0" fontId="4" fillId="0" borderId="2" xfId="1" applyFont="1" applyBorder="1" applyAlignment="1" applyProtection="1">
      <alignment horizontal="center" vertical="center"/>
    </xf>
    <xf numFmtId="0" fontId="5" fillId="0" borderId="2" xfId="1" applyFont="1" applyBorder="1" applyAlignment="1" applyProtection="1">
      <alignment horizontal="center" vertical="center" wrapText="1"/>
    </xf>
    <xf numFmtId="0" fontId="6" fillId="0" borderId="3" xfId="1" applyFont="1" applyBorder="1" applyAlignment="1" applyProtection="1">
      <alignment horizontal="center" vertical="center"/>
    </xf>
    <xf numFmtId="0" fontId="6" fillId="0" borderId="4" xfId="1" applyFont="1" applyBorder="1" applyAlignment="1" applyProtection="1">
      <alignment horizontal="center" vertical="center"/>
    </xf>
    <xf numFmtId="0" fontId="6" fillId="0" borderId="5" xfId="1" applyFont="1" applyBorder="1" applyAlignment="1" applyProtection="1">
      <alignment horizontal="center" vertical="center"/>
    </xf>
    <xf numFmtId="0" fontId="7" fillId="0" borderId="3" xfId="1" applyFont="1" applyBorder="1" applyAlignment="1" applyProtection="1">
      <alignment horizontal="center" vertical="center"/>
    </xf>
    <xf numFmtId="0" fontId="7" fillId="0" borderId="5" xfId="1" applyFont="1" applyBorder="1" applyAlignment="1" applyProtection="1">
      <alignment horizontal="center" vertical="center"/>
    </xf>
    <xf numFmtId="0" fontId="4" fillId="0" borderId="6" xfId="1" applyFont="1" applyBorder="1" applyAlignment="1" applyProtection="1">
      <alignment horizontal="center" vertical="center"/>
    </xf>
    <xf numFmtId="0" fontId="5" fillId="0" borderId="6" xfId="1" applyFont="1" applyBorder="1" applyAlignment="1" applyProtection="1">
      <alignment horizontal="center" vertical="center" wrapText="1"/>
    </xf>
    <xf numFmtId="0" fontId="8" fillId="0" borderId="7" xfId="1" applyFont="1" applyBorder="1" applyAlignment="1" applyProtection="1">
      <alignment horizontal="center" vertical="center"/>
    </xf>
    <xf numFmtId="0" fontId="6" fillId="0" borderId="7" xfId="1" applyFont="1" applyBorder="1" applyAlignment="1" applyProtection="1">
      <alignment horizontal="center" vertical="center"/>
    </xf>
    <xf numFmtId="0" fontId="8" fillId="0" borderId="7" xfId="1" applyFont="1" applyBorder="1" applyAlignment="1" applyProtection="1">
      <alignment horizontal="center" vertical="center" wrapText="1"/>
    </xf>
    <xf numFmtId="0" fontId="8" fillId="0" borderId="7" xfId="1" applyFont="1" applyBorder="1" applyAlignment="1" applyProtection="1">
      <alignment vertical="center" wrapText="1"/>
    </xf>
    <xf numFmtId="0" fontId="6" fillId="0" borderId="7" xfId="1" applyFont="1" applyBorder="1" applyAlignment="1" applyProtection="1">
      <alignment horizontal="center" vertical="center" wrapText="1"/>
    </xf>
    <xf numFmtId="0" fontId="8" fillId="0" borderId="3" xfId="1" applyFont="1" applyBorder="1" applyAlignment="1" applyProtection="1">
      <alignment horizontal="center" vertical="center" wrapText="1"/>
    </xf>
    <xf numFmtId="0" fontId="8" fillId="0" borderId="5" xfId="1" applyFont="1" applyBorder="1" applyAlignment="1" applyProtection="1">
      <alignment horizontal="center" vertical="center" wrapText="1"/>
    </xf>
    <xf numFmtId="0" fontId="1" fillId="0" borderId="0" xfId="1" applyAlignment="1" applyProtection="1">
      <alignment vertical="center"/>
    </xf>
    <xf numFmtId="0" fontId="9" fillId="2" borderId="7" xfId="1" applyFont="1" applyFill="1" applyBorder="1" applyAlignment="1" applyProtection="1">
      <alignment horizontal="center" vertical="center"/>
    </xf>
    <xf numFmtId="1" fontId="10" fillId="2" borderId="7" xfId="1" applyNumberFormat="1" applyFont="1" applyFill="1" applyBorder="1" applyAlignment="1" applyProtection="1">
      <alignment horizontal="center" vertical="center"/>
    </xf>
    <xf numFmtId="1" fontId="10" fillId="2" borderId="7" xfId="1" applyNumberFormat="1" applyFont="1" applyFill="1" applyBorder="1" applyAlignment="1" applyProtection="1">
      <alignment vertical="center"/>
    </xf>
    <xf numFmtId="14" fontId="9" fillId="3" borderId="7" xfId="1" applyNumberFormat="1" applyFont="1" applyFill="1" applyBorder="1" applyAlignment="1" applyProtection="1">
      <alignment horizontal="center" vertical="center"/>
    </xf>
    <xf numFmtId="0" fontId="9" fillId="4" borderId="8" xfId="1" applyFont="1" applyFill="1" applyBorder="1" applyAlignment="1" applyProtection="1">
      <alignment horizontal="center" vertical="center"/>
    </xf>
    <xf numFmtId="1" fontId="9" fillId="2" borderId="7" xfId="1" applyNumberFormat="1" applyFont="1" applyFill="1" applyBorder="1" applyAlignment="1" applyProtection="1">
      <alignment horizontal="center" vertical="center"/>
    </xf>
    <xf numFmtId="0" fontId="11" fillId="2" borderId="7" xfId="1" applyFont="1" applyFill="1" applyBorder="1" applyAlignment="1" applyProtection="1">
      <alignment horizontal="center" vertical="center"/>
    </xf>
    <xf numFmtId="3" fontId="9" fillId="2" borderId="7" xfId="1" applyNumberFormat="1" applyFont="1" applyFill="1" applyBorder="1" applyAlignment="1" applyProtection="1">
      <alignment horizontal="center" vertical="center"/>
    </xf>
    <xf numFmtId="2" fontId="12" fillId="5" borderId="7" xfId="1" applyNumberFormat="1" applyFont="1" applyFill="1" applyBorder="1" applyAlignment="1" applyProtection="1">
      <alignment horizontal="center" vertical="center"/>
    </xf>
    <xf numFmtId="2" fontId="9" fillId="2" borderId="7" xfId="1" applyNumberFormat="1" applyFont="1" applyFill="1" applyBorder="1" applyAlignment="1" applyProtection="1">
      <alignment horizontal="center" vertical="center"/>
    </xf>
    <xf numFmtId="0" fontId="13" fillId="2" borderId="3" xfId="1" applyFont="1" applyFill="1" applyBorder="1" applyAlignment="1" applyProtection="1">
      <alignment horizontal="center" vertical="center" wrapText="1"/>
    </xf>
    <xf numFmtId="0" fontId="13" fillId="2" borderId="9" xfId="1" applyFont="1" applyFill="1" applyBorder="1" applyAlignment="1" applyProtection="1">
      <alignment horizontal="center" vertical="center" wrapText="1"/>
    </xf>
    <xf numFmtId="0" fontId="14" fillId="6" borderId="0" xfId="1" applyFont="1" applyFill="1" applyProtection="1"/>
    <xf numFmtId="0" fontId="14" fillId="2" borderId="0" xfId="1" applyFont="1" applyFill="1" applyProtection="1"/>
    <xf numFmtId="2" fontId="14" fillId="2" borderId="0" xfId="1" applyNumberFormat="1" applyFont="1" applyFill="1" applyAlignment="1" applyProtection="1">
      <alignment vertical="center"/>
    </xf>
    <xf numFmtId="2" fontId="12" fillId="7" borderId="7" xfId="1" applyNumberFormat="1" applyFont="1" applyFill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14" fillId="0" borderId="0" xfId="1" applyFont="1" applyProtection="1"/>
    <xf numFmtId="2" fontId="14" fillId="0" borderId="0" xfId="1" applyNumberFormat="1" applyFont="1" applyAlignment="1" applyProtection="1">
      <alignment vertical="center"/>
    </xf>
    <xf numFmtId="0" fontId="9" fillId="2" borderId="7" xfId="1" applyFont="1" applyFill="1" applyBorder="1" applyAlignment="1" applyProtection="1">
      <alignment horizontal="center" vertical="center" wrapText="1"/>
    </xf>
    <xf numFmtId="1" fontId="10" fillId="0" borderId="7" xfId="1" applyNumberFormat="1" applyFont="1" applyBorder="1" applyAlignment="1" applyProtection="1">
      <alignment vertical="center"/>
    </xf>
    <xf numFmtId="1" fontId="9" fillId="0" borderId="7" xfId="1" applyNumberFormat="1" applyFont="1" applyBorder="1" applyAlignment="1" applyProtection="1">
      <alignment horizontal="center" vertical="center"/>
    </xf>
    <xf numFmtId="0" fontId="15" fillId="8" borderId="3" xfId="1" applyFont="1" applyFill="1" applyBorder="1" applyAlignment="1" applyProtection="1">
      <alignment horizontal="center"/>
    </xf>
    <xf numFmtId="0" fontId="15" fillId="8" borderId="4" xfId="1" applyFont="1" applyFill="1" applyBorder="1" applyAlignment="1" applyProtection="1">
      <alignment horizontal="center"/>
    </xf>
    <xf numFmtId="0" fontId="15" fillId="8" borderId="5" xfId="1" applyFont="1" applyFill="1" applyBorder="1" applyAlignment="1" applyProtection="1">
      <alignment horizontal="center"/>
    </xf>
    <xf numFmtId="41" fontId="3" fillId="8" borderId="7" xfId="2" applyNumberFormat="1" applyFont="1" applyFill="1" applyBorder="1" applyAlignment="1" applyProtection="1">
      <alignment horizontal="center" vertical="center"/>
    </xf>
    <xf numFmtId="0" fontId="3" fillId="2" borderId="7" xfId="1" applyFont="1" applyFill="1" applyBorder="1" applyProtection="1"/>
    <xf numFmtId="0" fontId="15" fillId="2" borderId="7" xfId="1" applyFont="1" applyFill="1" applyBorder="1" applyProtection="1"/>
    <xf numFmtId="0" fontId="15" fillId="2" borderId="7" xfId="1" applyFont="1" applyFill="1" applyBorder="1" applyAlignment="1" applyProtection="1">
      <alignment horizontal="center" vertical="center"/>
    </xf>
    <xf numFmtId="0" fontId="15" fillId="2" borderId="7" xfId="1" applyFont="1" applyFill="1" applyBorder="1" applyAlignment="1" applyProtection="1">
      <alignment horizontal="center"/>
    </xf>
    <xf numFmtId="0" fontId="15" fillId="0" borderId="8" xfId="1" applyFont="1" applyBorder="1" applyAlignment="1" applyProtection="1">
      <alignment horizontal="center" vertical="center"/>
    </xf>
    <xf numFmtId="1" fontId="3" fillId="2" borderId="7" xfId="1" applyNumberFormat="1" applyFont="1" applyFill="1" applyBorder="1" applyAlignment="1" applyProtection="1">
      <alignment horizontal="center"/>
    </xf>
    <xf numFmtId="0" fontId="3" fillId="2" borderId="7" xfId="1" applyFont="1" applyFill="1" applyBorder="1" applyAlignment="1" applyProtection="1">
      <alignment horizontal="center"/>
    </xf>
    <xf numFmtId="0" fontId="16" fillId="2" borderId="7" xfId="1" applyFont="1" applyFill="1" applyBorder="1" applyAlignment="1" applyProtection="1">
      <alignment horizontal="center"/>
    </xf>
    <xf numFmtId="3" fontId="17" fillId="2" borderId="7" xfId="1" applyNumberFormat="1" applyFont="1" applyFill="1" applyBorder="1" applyAlignment="1" applyProtection="1">
      <alignment horizontal="center" vertical="center"/>
    </xf>
    <xf numFmtId="0" fontId="15" fillId="0" borderId="7" xfId="1" applyFont="1" applyBorder="1" applyAlignment="1" applyProtection="1">
      <alignment horizontal="center"/>
    </xf>
    <xf numFmtId="2" fontId="15" fillId="0" borderId="7" xfId="1" applyNumberFormat="1" applyFont="1" applyBorder="1" applyAlignment="1" applyProtection="1">
      <alignment horizontal="center" vertical="center"/>
    </xf>
    <xf numFmtId="2" fontId="15" fillId="2" borderId="7" xfId="1" applyNumberFormat="1" applyFont="1" applyFill="1" applyBorder="1" applyAlignment="1" applyProtection="1">
      <alignment horizontal="center" vertical="center"/>
    </xf>
    <xf numFmtId="2" fontId="18" fillId="2" borderId="3" xfId="2" applyNumberFormat="1" applyFont="1" applyFill="1" applyBorder="1" applyAlignment="1" applyProtection="1">
      <alignment horizontal="center" vertical="center"/>
    </xf>
    <xf numFmtId="2" fontId="18" fillId="2" borderId="5" xfId="2" applyNumberFormat="1" applyFont="1" applyFill="1" applyBorder="1" applyAlignment="1" applyProtection="1">
      <alignment horizontal="center" vertical="center"/>
    </xf>
    <xf numFmtId="0" fontId="3" fillId="9" borderId="3" xfId="1" applyFont="1" applyFill="1" applyBorder="1" applyAlignment="1" applyProtection="1">
      <alignment horizontal="center"/>
    </xf>
    <xf numFmtId="0" fontId="3" fillId="9" borderId="4" xfId="1" applyFont="1" applyFill="1" applyBorder="1" applyAlignment="1" applyProtection="1">
      <alignment horizontal="center"/>
    </xf>
    <xf numFmtId="0" fontId="3" fillId="9" borderId="5" xfId="1" applyFont="1" applyFill="1" applyBorder="1" applyAlignment="1" applyProtection="1">
      <alignment horizontal="center"/>
    </xf>
    <xf numFmtId="1" fontId="15" fillId="0" borderId="3" xfId="1" applyNumberFormat="1" applyFont="1" applyBorder="1" applyAlignment="1" applyProtection="1">
      <alignment horizontal="center"/>
    </xf>
    <xf numFmtId="1" fontId="15" fillId="0" borderId="5" xfId="1" applyNumberFormat="1" applyFont="1" applyBorder="1" applyAlignment="1" applyProtection="1">
      <alignment horizontal="center"/>
    </xf>
    <xf numFmtId="0" fontId="3" fillId="0" borderId="7" xfId="1" applyFont="1" applyBorder="1" applyProtection="1"/>
    <xf numFmtId="0" fontId="3" fillId="0" borderId="7" xfId="1" applyFont="1" applyBorder="1" applyAlignment="1" applyProtection="1">
      <alignment horizontal="center"/>
    </xf>
    <xf numFmtId="1" fontId="3" fillId="0" borderId="7" xfId="1" applyNumberFormat="1" applyFont="1" applyBorder="1" applyAlignment="1" applyProtection="1">
      <alignment horizontal="center"/>
    </xf>
    <xf numFmtId="2" fontId="3" fillId="0" borderId="7" xfId="1" applyNumberFormat="1" applyFont="1" applyBorder="1" applyProtection="1"/>
    <xf numFmtId="0" fontId="16" fillId="2" borderId="3" xfId="1" applyFont="1" applyFill="1" applyBorder="1" applyAlignment="1" applyProtection="1">
      <alignment horizontal="center"/>
    </xf>
    <xf numFmtId="0" fontId="16" fillId="2" borderId="5" xfId="1" applyFont="1" applyFill="1" applyBorder="1" applyAlignment="1" applyProtection="1">
      <alignment horizontal="center"/>
    </xf>
    <xf numFmtId="0" fontId="3" fillId="0" borderId="3" xfId="1" applyFont="1" applyBorder="1" applyAlignment="1" applyProtection="1">
      <alignment horizontal="center"/>
    </xf>
    <xf numFmtId="0" fontId="3" fillId="0" borderId="4" xfId="1" applyFont="1" applyBorder="1" applyAlignment="1" applyProtection="1">
      <alignment horizontal="center"/>
    </xf>
    <xf numFmtId="0" fontId="3" fillId="0" borderId="5" xfId="1" applyFont="1" applyBorder="1" applyAlignment="1" applyProtection="1">
      <alignment horizontal="center"/>
    </xf>
    <xf numFmtId="0" fontId="15" fillId="0" borderId="3" xfId="1" applyFont="1" applyBorder="1" applyAlignment="1" applyProtection="1">
      <alignment horizontal="center"/>
    </xf>
    <xf numFmtId="0" fontId="15" fillId="0" borderId="5" xfId="1" applyFont="1" applyBorder="1" applyAlignment="1" applyProtection="1">
      <alignment horizontal="center"/>
    </xf>
    <xf numFmtId="3" fontId="3" fillId="0" borderId="7" xfId="1" applyNumberFormat="1" applyFont="1" applyBorder="1" applyProtection="1"/>
    <xf numFmtId="0" fontId="16" fillId="0" borderId="3" xfId="1" applyFont="1" applyBorder="1" applyAlignment="1" applyProtection="1">
      <alignment horizontal="center"/>
    </xf>
    <xf numFmtId="0" fontId="16" fillId="0" borderId="5" xfId="1" applyFont="1" applyBorder="1" applyAlignment="1" applyProtection="1">
      <alignment horizontal="center"/>
    </xf>
    <xf numFmtId="1" fontId="3" fillId="0" borderId="7" xfId="1" applyNumberFormat="1" applyFont="1" applyBorder="1" applyProtection="1"/>
    <xf numFmtId="3" fontId="15" fillId="2" borderId="7" xfId="1" applyNumberFormat="1" applyFont="1" applyFill="1" applyBorder="1" applyAlignment="1" applyProtection="1">
      <alignment horizontal="center" vertical="center"/>
    </xf>
    <xf numFmtId="164" fontId="3" fillId="0" borderId="7" xfId="1" applyNumberFormat="1" applyFont="1" applyBorder="1" applyProtection="1"/>
    <xf numFmtId="1" fontId="3" fillId="2" borderId="7" xfId="1" applyNumberFormat="1" applyFont="1" applyFill="1" applyBorder="1" applyProtection="1"/>
    <xf numFmtId="0" fontId="3" fillId="2" borderId="0" xfId="1" applyFont="1" applyFill="1" applyProtection="1"/>
    <xf numFmtId="0" fontId="3" fillId="9" borderId="0" xfId="1" applyFont="1" applyFill="1" applyProtection="1"/>
    <xf numFmtId="1" fontId="15" fillId="9" borderId="0" xfId="1" applyNumberFormat="1" applyFont="1" applyFill="1" applyAlignment="1" applyProtection="1">
      <alignment horizontal="center"/>
    </xf>
    <xf numFmtId="0" fontId="15" fillId="3" borderId="0" xfId="1" applyFont="1" applyFill="1" applyAlignment="1" applyProtection="1">
      <alignment horizontal="center"/>
    </xf>
    <xf numFmtId="1" fontId="15" fillId="3" borderId="0" xfId="1" applyNumberFormat="1" applyFont="1" applyFill="1" applyAlignment="1" applyProtection="1">
      <alignment horizontal="center"/>
    </xf>
    <xf numFmtId="0" fontId="3" fillId="0" borderId="0" xfId="1" applyFont="1" applyAlignment="1" applyProtection="1">
      <alignment horizontal="center"/>
    </xf>
    <xf numFmtId="0" fontId="15" fillId="10" borderId="0" xfId="1" applyFont="1" applyFill="1" applyAlignment="1" applyProtection="1">
      <alignment horizontal="center" vertical="center"/>
    </xf>
    <xf numFmtId="0" fontId="3" fillId="11" borderId="0" xfId="1" applyFont="1" applyFill="1" applyProtection="1"/>
    <xf numFmtId="1" fontId="15" fillId="11" borderId="0" xfId="1" applyNumberFormat="1" applyFont="1" applyFill="1" applyAlignment="1" applyProtection="1">
      <alignment horizontal="center"/>
    </xf>
    <xf numFmtId="0" fontId="15" fillId="12" borderId="0" xfId="1" applyFont="1" applyFill="1" applyAlignment="1" applyProtection="1">
      <alignment horizontal="center"/>
    </xf>
    <xf numFmtId="164" fontId="15" fillId="12" borderId="0" xfId="1" applyNumberFormat="1" applyFont="1" applyFill="1" applyAlignment="1" applyProtection="1">
      <alignment horizontal="center"/>
    </xf>
    <xf numFmtId="0" fontId="3" fillId="13" borderId="0" xfId="1" applyFont="1" applyFill="1" applyProtection="1"/>
    <xf numFmtId="1" fontId="3" fillId="13" borderId="0" xfId="1" applyNumberFormat="1" applyFont="1" applyFill="1" applyAlignment="1" applyProtection="1">
      <alignment horizontal="center"/>
    </xf>
    <xf numFmtId="0" fontId="15" fillId="14" borderId="0" xfId="1" applyFont="1" applyFill="1" applyAlignment="1" applyProtection="1">
      <alignment horizontal="center"/>
    </xf>
    <xf numFmtId="0" fontId="3" fillId="10" borderId="0" xfId="1" applyFont="1" applyFill="1" applyProtection="1"/>
    <xf numFmtId="1" fontId="3" fillId="10" borderId="0" xfId="1" applyNumberFormat="1" applyFont="1" applyFill="1" applyAlignment="1" applyProtection="1">
      <alignment horizontal="center"/>
    </xf>
    <xf numFmtId="0" fontId="15" fillId="2" borderId="0" xfId="1" applyFont="1" applyFill="1" applyAlignment="1" applyProtection="1">
      <alignment horizontal="center"/>
    </xf>
    <xf numFmtId="164" fontId="15" fillId="2" borderId="0" xfId="1" applyNumberFormat="1" applyFont="1" applyFill="1" applyAlignment="1" applyProtection="1">
      <alignment horizontal="center"/>
    </xf>
    <xf numFmtId="1" fontId="3" fillId="0" borderId="0" xfId="1" applyNumberFormat="1" applyFont="1" applyAlignment="1" applyProtection="1">
      <alignment horizontal="center"/>
    </xf>
    <xf numFmtId="0" fontId="15" fillId="15" borderId="0" xfId="1" applyFont="1" applyFill="1" applyAlignment="1" applyProtection="1">
      <alignment horizontal="center"/>
    </xf>
    <xf numFmtId="164" fontId="15" fillId="15" borderId="0" xfId="1" applyNumberFormat="1" applyFont="1" applyFill="1" applyAlignment="1" applyProtection="1">
      <alignment horizontal="center"/>
    </xf>
    <xf numFmtId="46" fontId="3" fillId="0" borderId="0" xfId="1" applyNumberFormat="1" applyFont="1" applyProtection="1"/>
    <xf numFmtId="1" fontId="3" fillId="0" borderId="0" xfId="1" applyNumberFormat="1" applyFont="1" applyProtection="1"/>
    <xf numFmtId="0" fontId="3" fillId="3" borderId="0" xfId="1" applyFont="1" applyFill="1" applyProtection="1"/>
    <xf numFmtId="1" fontId="3" fillId="3" borderId="0" xfId="1" applyNumberFormat="1" applyFont="1" applyFill="1" applyAlignment="1" applyProtection="1">
      <alignment horizontal="center"/>
    </xf>
    <xf numFmtId="164" fontId="3" fillId="0" borderId="0" xfId="1" applyNumberFormat="1" applyFont="1" applyProtection="1"/>
    <xf numFmtId="3" fontId="9" fillId="3" borderId="0" xfId="1" applyNumberFormat="1" applyFont="1" applyFill="1" applyAlignment="1" applyProtection="1">
      <alignment horizontal="center"/>
    </xf>
    <xf numFmtId="0" fontId="9" fillId="3" borderId="0" xfId="1" applyFont="1" applyFill="1" applyAlignment="1" applyProtection="1">
      <alignment horizontal="center"/>
    </xf>
    <xf numFmtId="0" fontId="15" fillId="3" borderId="0" xfId="1" applyFont="1" applyFill="1" applyProtection="1"/>
    <xf numFmtId="0" fontId="2" fillId="2" borderId="0" xfId="1" applyFont="1" applyFill="1" applyAlignment="1" applyProtection="1">
      <alignment vertical="center"/>
    </xf>
    <xf numFmtId="0" fontId="19" fillId="12" borderId="0" xfId="1" applyFont="1" applyFill="1" applyAlignment="1" applyProtection="1">
      <alignment horizontal="center"/>
    </xf>
    <xf numFmtId="0" fontId="20" fillId="12" borderId="0" xfId="1" applyFont="1" applyFill="1" applyAlignment="1" applyProtection="1">
      <alignment horizontal="center"/>
    </xf>
    <xf numFmtId="0" fontId="20" fillId="12" borderId="0" xfId="1" applyFont="1" applyFill="1" applyAlignment="1" applyProtection="1">
      <alignment horizontal="center"/>
    </xf>
    <xf numFmtId="3" fontId="20" fillId="12" borderId="0" xfId="1" applyNumberFormat="1" applyFont="1" applyFill="1" applyAlignment="1" applyProtection="1">
      <alignment horizontal="center"/>
    </xf>
    <xf numFmtId="0" fontId="19" fillId="12" borderId="0" xfId="1" applyFont="1" applyFill="1" applyProtection="1"/>
    <xf numFmtId="1" fontId="19" fillId="12" borderId="0" xfId="1" applyNumberFormat="1" applyFont="1" applyFill="1" applyProtection="1"/>
    <xf numFmtId="42" fontId="2" fillId="5" borderId="0" xfId="3" applyNumberFormat="1" applyFont="1" applyFill="1" applyAlignment="1" applyProtection="1">
      <alignment horizontal="center" vertical="center"/>
    </xf>
    <xf numFmtId="0" fontId="9" fillId="14" borderId="0" xfId="1" applyFont="1" applyFill="1" applyAlignment="1" applyProtection="1">
      <alignment horizontal="center"/>
    </xf>
    <xf numFmtId="0" fontId="9" fillId="14" borderId="0" xfId="1" applyFont="1" applyFill="1" applyAlignment="1" applyProtection="1">
      <alignment horizontal="center"/>
    </xf>
    <xf numFmtId="0" fontId="15" fillId="14" borderId="0" xfId="1" applyFont="1" applyFill="1" applyProtection="1"/>
    <xf numFmtId="3" fontId="9" fillId="15" borderId="0" xfId="1" applyNumberFormat="1" applyFont="1" applyFill="1" applyAlignment="1" applyProtection="1">
      <alignment horizontal="center"/>
    </xf>
    <xf numFmtId="0" fontId="21" fillId="15" borderId="0" xfId="1" applyFont="1" applyFill="1" applyProtection="1"/>
    <xf numFmtId="0" fontId="16" fillId="0" borderId="0" xfId="1" applyFont="1" applyProtection="1"/>
    <xf numFmtId="0" fontId="21" fillId="16" borderId="0" xfId="1" applyFont="1" applyFill="1" applyAlignment="1" applyProtection="1">
      <alignment horizontal="center"/>
    </xf>
    <xf numFmtId="0" fontId="21" fillId="0" borderId="0" xfId="1" applyFont="1" applyProtection="1"/>
    <xf numFmtId="0" fontId="16" fillId="0" borderId="0" xfId="1" applyFont="1" applyProtection="1"/>
    <xf numFmtId="1" fontId="16" fillId="0" borderId="0" xfId="1" applyNumberFormat="1" applyFont="1" applyProtection="1"/>
    <xf numFmtId="1" fontId="22" fillId="0" borderId="0" xfId="1" applyNumberFormat="1" applyFont="1" applyAlignment="1" applyProtection="1">
      <alignment vertical="center"/>
    </xf>
    <xf numFmtId="1" fontId="14" fillId="0" borderId="0" xfId="1" applyNumberFormat="1" applyFont="1" applyAlignment="1" applyProtection="1">
      <alignment vertical="center"/>
    </xf>
    <xf numFmtId="3" fontId="1" fillId="0" borderId="0" xfId="1" applyNumberFormat="1" applyProtection="1"/>
  </cellXfs>
  <cellStyles count="4">
    <cellStyle name="Comma [0] 2 2 2 2 2 2 2 2 2 2 2 2" xfId="2" xr:uid="{4FD9302D-5D58-4A34-A5AC-6A0125AB0236}"/>
    <cellStyle name="Currency [0] 4 2 2 2 2" xfId="3" xr:uid="{7916F3E4-EAD6-42C7-8559-E19CEA358813}"/>
    <cellStyle name="Normal" xfId="0" builtinId="0"/>
    <cellStyle name="Normal 2 2 2 2" xfId="1" xr:uid="{590072D9-2192-4281-B150-94B8C538C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PH%20B%20RUPI%20SEPTEMBER%202026.xlsx" TargetMode="External"/><Relationship Id="rId2" Type="http://schemas.openxmlformats.org/officeDocument/2006/relationships/externalLinkPath" Target="file:///C:\Users\Chan\Downloads\LPH%20B%20RUPI%20SEPTEMBER%202026.xlsx" TargetMode="External"/><Relationship Id="rId1" Type="http://schemas.openxmlformats.org/officeDocument/2006/relationships/externalLinkPath" Target="/Users/Chan/Downloads/LPH%20B%20RUPI%20SEPTEM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1-8"/>
      <sheetName val="1-9"/>
      <sheetName val="2-9"/>
      <sheetName val="3-9"/>
    </sheetNames>
    <sheetDataSet>
      <sheetData sheetId="0"/>
      <sheetData sheetId="1"/>
      <sheetData sheetId="2">
        <row r="6">
          <cell r="X6">
            <v>520</v>
          </cell>
        </row>
        <row r="7">
          <cell r="X7">
            <v>514</v>
          </cell>
        </row>
        <row r="8">
          <cell r="X8">
            <v>456</v>
          </cell>
        </row>
        <row r="9">
          <cell r="X9">
            <v>577</v>
          </cell>
        </row>
        <row r="10">
          <cell r="X10">
            <v>1298</v>
          </cell>
        </row>
        <row r="11">
          <cell r="X11">
            <v>1343</v>
          </cell>
        </row>
        <row r="12">
          <cell r="X12">
            <v>1262</v>
          </cell>
        </row>
        <row r="13">
          <cell r="X13">
            <v>1245</v>
          </cell>
        </row>
        <row r="14">
          <cell r="X14">
            <v>1368</v>
          </cell>
        </row>
        <row r="15">
          <cell r="X15">
            <v>964</v>
          </cell>
        </row>
        <row r="16">
          <cell r="X16">
            <v>1002</v>
          </cell>
        </row>
        <row r="17">
          <cell r="X17">
            <v>760</v>
          </cell>
        </row>
        <row r="18">
          <cell r="X18">
            <v>731</v>
          </cell>
        </row>
        <row r="19">
          <cell r="X19">
            <v>764</v>
          </cell>
        </row>
        <row r="20">
          <cell r="X20">
            <v>12804</v>
          </cell>
        </row>
        <row r="21">
          <cell r="X21">
            <v>42.68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94CE-C6B7-4D83-BA98-C6F740E0768F}">
  <sheetPr>
    <pageSetUpPr fitToPage="1"/>
  </sheetPr>
  <dimension ref="A1:AF43"/>
  <sheetViews>
    <sheetView tabSelected="1" zoomScale="34" zoomScaleNormal="34" workbookViewId="0">
      <pane xSplit="1" ySplit="5" topLeftCell="B13" activePane="bottomRight" state="frozen"/>
      <selection pane="topRight" activeCell="B1" sqref="B1"/>
      <selection pane="bottomLeft" activeCell="A6" sqref="A6"/>
      <selection pane="bottomRight" activeCell="G38" sqref="G38"/>
    </sheetView>
  </sheetViews>
  <sheetFormatPr defaultColWidth="9.109375" defaultRowHeight="14.4" x14ac:dyDescent="0.3"/>
  <cols>
    <col min="1" max="1" width="41.33203125" style="2" customWidth="1"/>
    <col min="2" max="2" width="14.33203125" style="2" customWidth="1"/>
    <col min="3" max="3" width="22" style="2" customWidth="1"/>
    <col min="4" max="4" width="19.44140625" style="2" customWidth="1"/>
    <col min="5" max="5" width="20.5546875" style="2" customWidth="1"/>
    <col min="6" max="6" width="10.88671875" style="2" customWidth="1"/>
    <col min="7" max="7" width="29.109375" style="2" customWidth="1"/>
    <col min="8" max="8" width="8.33203125" style="2" customWidth="1"/>
    <col min="9" max="9" width="9.44140625" style="2" customWidth="1"/>
    <col min="10" max="10" width="56" style="2" customWidth="1"/>
    <col min="11" max="11" width="11" style="2" customWidth="1"/>
    <col min="12" max="12" width="10.88671875" style="2" customWidth="1"/>
    <col min="13" max="13" width="17.33203125" style="2" customWidth="1"/>
    <col min="14" max="14" width="13.109375" style="2" customWidth="1"/>
    <col min="15" max="15" width="13" style="2" customWidth="1"/>
    <col min="16" max="16" width="17" style="2" customWidth="1"/>
    <col min="17" max="17" width="16.6640625" style="2" customWidth="1"/>
    <col min="18" max="18" width="17.109375" style="2" customWidth="1"/>
    <col min="19" max="20" width="14.109375" style="2" customWidth="1"/>
    <col min="21" max="21" width="13" style="2" customWidth="1"/>
    <col min="22" max="22" width="14.88671875" style="2" customWidth="1"/>
    <col min="23" max="23" width="13" style="2" customWidth="1"/>
    <col min="24" max="24" width="24.5546875" style="2" customWidth="1"/>
    <col min="25" max="25" width="18.6640625" style="2" customWidth="1"/>
    <col min="26" max="26" width="16.33203125" style="2" customWidth="1"/>
    <col min="27" max="27" width="17.88671875" style="2" customWidth="1"/>
    <col min="28" max="28" width="9.5546875" style="2" customWidth="1"/>
    <col min="29" max="29" width="30" style="2" customWidth="1"/>
    <col min="30" max="31" width="9.109375" style="2"/>
    <col min="32" max="32" width="14.33203125" style="2" customWidth="1"/>
    <col min="33" max="35" width="9.109375" style="2"/>
    <col min="36" max="36" width="9.6640625" style="2" customWidth="1"/>
    <col min="37" max="37" width="9.109375" style="2"/>
    <col min="38" max="38" width="13.33203125" style="2" customWidth="1"/>
    <col min="39" max="16384" width="9.109375" style="2"/>
  </cols>
  <sheetData>
    <row r="1" spans="1:32" ht="22.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2" ht="22.2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2" ht="23.4" thickBot="1" x14ac:dyDescent="0.45">
      <c r="A3" s="4" t="s">
        <v>2</v>
      </c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2" ht="18.600000000000001" thickBot="1" x14ac:dyDescent="0.35">
      <c r="A4" s="7" t="s">
        <v>3</v>
      </c>
      <c r="B4" s="8" t="s">
        <v>4</v>
      </c>
      <c r="C4" s="9" t="s">
        <v>5</v>
      </c>
      <c r="D4" s="10"/>
      <c r="E4" s="10"/>
      <c r="F4" s="11"/>
      <c r="G4" s="9" t="s">
        <v>6</v>
      </c>
      <c r="H4" s="10"/>
      <c r="I4" s="11"/>
      <c r="J4" s="9" t="s">
        <v>7</v>
      </c>
      <c r="K4" s="10"/>
      <c r="L4" s="10"/>
      <c r="M4" s="11"/>
      <c r="N4" s="9" t="s">
        <v>8</v>
      </c>
      <c r="O4" s="11"/>
      <c r="P4" s="9" t="s">
        <v>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12">
        <v>36</v>
      </c>
      <c r="AC4" s="13"/>
    </row>
    <row r="5" spans="1:32" ht="54.6" thickBot="1" x14ac:dyDescent="0.35">
      <c r="A5" s="14"/>
      <c r="B5" s="15"/>
      <c r="C5" s="16" t="s">
        <v>10</v>
      </c>
      <c r="D5" s="16" t="s">
        <v>11</v>
      </c>
      <c r="E5" s="16" t="s">
        <v>12</v>
      </c>
      <c r="F5" s="16" t="s">
        <v>13</v>
      </c>
      <c r="G5" s="17" t="s">
        <v>14</v>
      </c>
      <c r="H5" s="17" t="s">
        <v>15</v>
      </c>
      <c r="I5" s="17" t="s">
        <v>16</v>
      </c>
      <c r="J5" s="17" t="s">
        <v>17</v>
      </c>
      <c r="K5" s="18" t="s">
        <v>18</v>
      </c>
      <c r="L5" s="19" t="s">
        <v>19</v>
      </c>
      <c r="M5" s="18" t="s">
        <v>20</v>
      </c>
      <c r="N5" s="20" t="s">
        <v>15</v>
      </c>
      <c r="O5" s="20" t="s">
        <v>21</v>
      </c>
      <c r="P5" s="20" t="s">
        <v>22</v>
      </c>
      <c r="Q5" s="20" t="s">
        <v>23</v>
      </c>
      <c r="R5" s="20" t="s">
        <v>24</v>
      </c>
      <c r="S5" s="20" t="s">
        <v>25</v>
      </c>
      <c r="T5" s="20" t="s">
        <v>26</v>
      </c>
      <c r="U5" s="20" t="s">
        <v>27</v>
      </c>
      <c r="V5" s="17" t="s">
        <v>28</v>
      </c>
      <c r="W5" s="17" t="s">
        <v>29</v>
      </c>
      <c r="X5" s="16" t="s">
        <v>30</v>
      </c>
      <c r="Y5" s="17" t="s">
        <v>31</v>
      </c>
      <c r="Z5" s="17" t="s">
        <v>32</v>
      </c>
      <c r="AA5" s="16" t="s">
        <v>33</v>
      </c>
      <c r="AB5" s="21" t="s">
        <v>34</v>
      </c>
      <c r="AC5" s="22"/>
      <c r="AF5" s="23"/>
    </row>
    <row r="6" spans="1:32" s="37" customFormat="1" ht="79.95" customHeight="1" thickBot="1" x14ac:dyDescent="0.55000000000000004">
      <c r="A6" s="24" t="s">
        <v>35</v>
      </c>
      <c r="B6" s="24">
        <v>720</v>
      </c>
      <c r="C6" s="25">
        <f>620-1</f>
        <v>619</v>
      </c>
      <c r="D6" s="25"/>
      <c r="E6" s="25"/>
      <c r="F6" s="26"/>
      <c r="G6" s="27">
        <v>45572</v>
      </c>
      <c r="H6" s="24">
        <v>99</v>
      </c>
      <c r="I6" s="24">
        <v>23</v>
      </c>
      <c r="J6" s="28" t="s">
        <v>36</v>
      </c>
      <c r="K6" s="29">
        <f t="shared" ref="K6:K19" si="0">L6*C6/1000</f>
        <v>77.375</v>
      </c>
      <c r="L6" s="24">
        <v>125</v>
      </c>
      <c r="M6" s="24">
        <v>114</v>
      </c>
      <c r="N6" s="29">
        <v>1417.5</v>
      </c>
      <c r="O6" s="24">
        <v>2000</v>
      </c>
      <c r="P6" s="30">
        <v>17</v>
      </c>
      <c r="Q6" s="30"/>
      <c r="R6" s="30">
        <v>20</v>
      </c>
      <c r="S6" s="30"/>
      <c r="T6" s="30"/>
      <c r="U6" s="30"/>
      <c r="V6" s="30">
        <v>3</v>
      </c>
      <c r="W6" s="30"/>
      <c r="X6" s="24">
        <f>P6*30+Q6*30+R6+U6+V6+W6+S6+T6</f>
        <v>533</v>
      </c>
      <c r="Y6" s="31">
        <f>X6-'[1]2-9'!X6</f>
        <v>13</v>
      </c>
      <c r="Z6" s="32">
        <f t="shared" ref="Z6:Z19" si="1">X6/C6*100</f>
        <v>86.10662358642972</v>
      </c>
      <c r="AA6" s="33">
        <v>77.7</v>
      </c>
      <c r="AB6" s="34"/>
      <c r="AC6" s="35"/>
      <c r="AD6" s="36" t="s">
        <v>37</v>
      </c>
      <c r="AF6" s="38">
        <f t="shared" ref="AF6:AF19" si="2">+Z6-AA6</f>
        <v>8.406623586429717</v>
      </c>
    </row>
    <row r="7" spans="1:32" s="37" customFormat="1" ht="79.95" customHeight="1" thickBot="1" x14ac:dyDescent="0.55000000000000004">
      <c r="A7" s="24" t="s">
        <v>38</v>
      </c>
      <c r="B7" s="24">
        <v>720</v>
      </c>
      <c r="C7" s="25">
        <f>623-1</f>
        <v>622</v>
      </c>
      <c r="D7" s="25"/>
      <c r="E7" s="25"/>
      <c r="F7" s="26"/>
      <c r="G7" s="27">
        <f t="shared" ref="G7:J19" si="3">+G6</f>
        <v>45572</v>
      </c>
      <c r="H7" s="24">
        <f>+H6</f>
        <v>99</v>
      </c>
      <c r="I7" s="24">
        <f t="shared" si="3"/>
        <v>23</v>
      </c>
      <c r="J7" s="28" t="str">
        <f>+J6</f>
        <v xml:space="preserve">SPESIAL </v>
      </c>
      <c r="K7" s="29">
        <f t="shared" si="0"/>
        <v>77.75</v>
      </c>
      <c r="L7" s="24">
        <v>125</v>
      </c>
      <c r="M7" s="24">
        <f t="shared" ref="M7:M19" si="4">+M6</f>
        <v>114</v>
      </c>
      <c r="N7" s="29">
        <v>1440</v>
      </c>
      <c r="O7" s="24">
        <f t="shared" ref="O7:O19" si="5">+O6</f>
        <v>2000</v>
      </c>
      <c r="P7" s="30">
        <v>17</v>
      </c>
      <c r="Q7" s="30"/>
      <c r="R7" s="30">
        <v>20</v>
      </c>
      <c r="S7" s="30"/>
      <c r="T7" s="30"/>
      <c r="U7" s="30"/>
      <c r="V7" s="30">
        <v>7</v>
      </c>
      <c r="W7" s="30"/>
      <c r="X7" s="24">
        <f>P7*30+Q7*30+R7+U7+V7+W7+S7+T7</f>
        <v>537</v>
      </c>
      <c r="Y7" s="31">
        <f>X7-'[1]2-9'!X7</f>
        <v>23</v>
      </c>
      <c r="Z7" s="32">
        <f t="shared" si="1"/>
        <v>86.334405144694543</v>
      </c>
      <c r="AA7" s="33">
        <f t="shared" ref="AA7:AA19" si="6">+AA6</f>
        <v>77.7</v>
      </c>
      <c r="AB7" s="34"/>
      <c r="AC7" s="35"/>
      <c r="AD7" s="36" t="s">
        <v>37</v>
      </c>
      <c r="AF7" s="38">
        <f t="shared" si="2"/>
        <v>8.63440514469454</v>
      </c>
    </row>
    <row r="8" spans="1:32" s="37" customFormat="1" ht="79.95" customHeight="1" thickBot="1" x14ac:dyDescent="0.55000000000000004">
      <c r="A8" s="24" t="s">
        <v>39</v>
      </c>
      <c r="B8" s="24">
        <v>720</v>
      </c>
      <c r="C8" s="25">
        <f>615-2-2</f>
        <v>611</v>
      </c>
      <c r="D8" s="25"/>
      <c r="E8" s="25"/>
      <c r="F8" s="26"/>
      <c r="G8" s="27">
        <f t="shared" si="3"/>
        <v>45572</v>
      </c>
      <c r="H8" s="24">
        <f t="shared" si="3"/>
        <v>99</v>
      </c>
      <c r="I8" s="24">
        <f t="shared" si="3"/>
        <v>23</v>
      </c>
      <c r="J8" s="28" t="str">
        <f t="shared" si="3"/>
        <v xml:space="preserve">SPESIAL </v>
      </c>
      <c r="K8" s="29">
        <f t="shared" si="0"/>
        <v>76.375</v>
      </c>
      <c r="L8" s="24">
        <v>125</v>
      </c>
      <c r="M8" s="24">
        <f t="shared" si="4"/>
        <v>114</v>
      </c>
      <c r="N8" s="29">
        <v>1441.875</v>
      </c>
      <c r="O8" s="24">
        <f t="shared" si="5"/>
        <v>2000</v>
      </c>
      <c r="P8" s="30">
        <v>14</v>
      </c>
      <c r="Q8" s="30"/>
      <c r="R8" s="30">
        <v>40</v>
      </c>
      <c r="S8" s="30"/>
      <c r="T8" s="30"/>
      <c r="U8" s="30"/>
      <c r="V8" s="30">
        <v>2</v>
      </c>
      <c r="W8" s="30"/>
      <c r="X8" s="24">
        <f t="shared" ref="X8:X19" si="7">P8*30+Q8*30+R8+U8+V8+W8+S8+T8</f>
        <v>462</v>
      </c>
      <c r="Y8" s="31">
        <f>X8-'[1]2-9'!X8</f>
        <v>6</v>
      </c>
      <c r="Z8" s="39">
        <f t="shared" si="1"/>
        <v>75.613747954173476</v>
      </c>
      <c r="AA8" s="33">
        <f t="shared" si="6"/>
        <v>77.7</v>
      </c>
      <c r="AB8" s="34" t="s">
        <v>40</v>
      </c>
      <c r="AC8" s="35"/>
      <c r="AD8" s="36" t="s">
        <v>37</v>
      </c>
      <c r="AF8" s="38">
        <f t="shared" si="2"/>
        <v>-2.0862520458265266</v>
      </c>
    </row>
    <row r="9" spans="1:32" s="37" customFormat="1" ht="79.95" customHeight="1" thickBot="1" x14ac:dyDescent="0.55000000000000004">
      <c r="A9" s="24" t="s">
        <v>41</v>
      </c>
      <c r="B9" s="24">
        <v>720</v>
      </c>
      <c r="C9" s="25">
        <f>659-2-2</f>
        <v>655</v>
      </c>
      <c r="D9" s="25"/>
      <c r="E9" s="25"/>
      <c r="F9" s="26"/>
      <c r="G9" s="27">
        <f t="shared" si="3"/>
        <v>45572</v>
      </c>
      <c r="H9" s="24">
        <f t="shared" si="3"/>
        <v>99</v>
      </c>
      <c r="I9" s="24">
        <f t="shared" si="3"/>
        <v>23</v>
      </c>
      <c r="J9" s="28" t="str">
        <f t="shared" si="3"/>
        <v xml:space="preserve">SPESIAL </v>
      </c>
      <c r="K9" s="29">
        <f t="shared" si="0"/>
        <v>81.875</v>
      </c>
      <c r="L9" s="24">
        <v>125</v>
      </c>
      <c r="M9" s="24">
        <f t="shared" si="4"/>
        <v>114</v>
      </c>
      <c r="N9" s="29">
        <v>1372.5</v>
      </c>
      <c r="O9" s="24">
        <f t="shared" si="5"/>
        <v>2000</v>
      </c>
      <c r="P9" s="30">
        <v>18</v>
      </c>
      <c r="Q9" s="30"/>
      <c r="R9" s="30">
        <v>17</v>
      </c>
      <c r="S9" s="30"/>
      <c r="T9" s="30"/>
      <c r="U9" s="30"/>
      <c r="V9" s="30">
        <v>3</v>
      </c>
      <c r="W9" s="30"/>
      <c r="X9" s="24">
        <f t="shared" si="7"/>
        <v>560</v>
      </c>
      <c r="Y9" s="31">
        <f>X9-'[1]2-9'!X9</f>
        <v>-17</v>
      </c>
      <c r="Z9" s="32">
        <f t="shared" si="1"/>
        <v>85.496183206106863</v>
      </c>
      <c r="AA9" s="33">
        <f t="shared" si="6"/>
        <v>77.7</v>
      </c>
      <c r="AB9" s="34"/>
      <c r="AC9" s="35"/>
      <c r="AD9" s="36" t="s">
        <v>37</v>
      </c>
      <c r="AF9" s="38">
        <f t="shared" si="2"/>
        <v>7.7961832061068606</v>
      </c>
    </row>
    <row r="10" spans="1:32" s="37" customFormat="1" ht="79.95" customHeight="1" thickBot="1" x14ac:dyDescent="0.55000000000000004">
      <c r="A10" s="24" t="s">
        <v>42</v>
      </c>
      <c r="B10" s="24">
        <v>1800</v>
      </c>
      <c r="C10" s="25">
        <f>1600-2-2-2-1</f>
        <v>1593</v>
      </c>
      <c r="D10" s="25"/>
      <c r="E10" s="25"/>
      <c r="F10" s="26"/>
      <c r="G10" s="27">
        <f>+G9</f>
        <v>45572</v>
      </c>
      <c r="H10" s="24">
        <f>+H6</f>
        <v>99</v>
      </c>
      <c r="I10" s="24">
        <f>+I9</f>
        <v>23</v>
      </c>
      <c r="J10" s="28" t="str">
        <f t="shared" si="3"/>
        <v xml:space="preserve">SPESIAL </v>
      </c>
      <c r="K10" s="29">
        <f t="shared" si="0"/>
        <v>199.125</v>
      </c>
      <c r="L10" s="24">
        <v>125</v>
      </c>
      <c r="M10" s="24">
        <f t="shared" si="4"/>
        <v>114</v>
      </c>
      <c r="N10" s="29">
        <v>1440</v>
      </c>
      <c r="O10" s="24">
        <f t="shared" si="5"/>
        <v>2000</v>
      </c>
      <c r="P10" s="30">
        <v>41</v>
      </c>
      <c r="Q10" s="30"/>
      <c r="R10" s="30">
        <v>60</v>
      </c>
      <c r="S10" s="30"/>
      <c r="T10" s="30"/>
      <c r="U10" s="30"/>
      <c r="V10" s="30">
        <v>3</v>
      </c>
      <c r="W10" s="30"/>
      <c r="X10" s="40">
        <f t="shared" si="7"/>
        <v>1293</v>
      </c>
      <c r="Y10" s="31">
        <f>X10-'[1]2-9'!X10</f>
        <v>-5</v>
      </c>
      <c r="Z10" s="32">
        <f t="shared" si="1"/>
        <v>81.16760828625236</v>
      </c>
      <c r="AA10" s="33">
        <f t="shared" si="6"/>
        <v>77.7</v>
      </c>
      <c r="AB10" s="34"/>
      <c r="AC10" s="35"/>
      <c r="AD10" s="36" t="s">
        <v>37</v>
      </c>
      <c r="AF10" s="38">
        <f t="shared" si="2"/>
        <v>3.4676082862523572</v>
      </c>
    </row>
    <row r="11" spans="1:32" s="37" customFormat="1" ht="79.95" customHeight="1" thickBot="1" x14ac:dyDescent="0.55000000000000004">
      <c r="A11" s="24" t="s">
        <v>43</v>
      </c>
      <c r="B11" s="24">
        <v>1760</v>
      </c>
      <c r="C11" s="25">
        <f>1581-1-1-1-2-2-1-1</f>
        <v>1572</v>
      </c>
      <c r="D11" s="25"/>
      <c r="E11" s="25"/>
      <c r="F11" s="26"/>
      <c r="G11" s="27">
        <f t="shared" ref="G11:I19" si="8">+G10</f>
        <v>45572</v>
      </c>
      <c r="H11" s="24">
        <f t="shared" si="8"/>
        <v>99</v>
      </c>
      <c r="I11" s="24">
        <f t="shared" si="8"/>
        <v>23</v>
      </c>
      <c r="J11" s="28" t="str">
        <f t="shared" si="3"/>
        <v xml:space="preserve">SPESIAL </v>
      </c>
      <c r="K11" s="29">
        <f t="shared" si="0"/>
        <v>196.5</v>
      </c>
      <c r="L11" s="24">
        <v>125</v>
      </c>
      <c r="M11" s="24">
        <f t="shared" si="4"/>
        <v>114</v>
      </c>
      <c r="N11" s="29">
        <v>1494.375</v>
      </c>
      <c r="O11" s="24">
        <f t="shared" si="5"/>
        <v>2000</v>
      </c>
      <c r="P11" s="30">
        <v>40</v>
      </c>
      <c r="Q11" s="30"/>
      <c r="R11" s="30">
        <v>130</v>
      </c>
      <c r="S11" s="30"/>
      <c r="T11" s="30"/>
      <c r="U11" s="30"/>
      <c r="V11" s="30">
        <v>8</v>
      </c>
      <c r="W11" s="30"/>
      <c r="X11" s="24">
        <f t="shared" si="7"/>
        <v>1338</v>
      </c>
      <c r="Y11" s="31">
        <f>X11-'[1]2-9'!X11</f>
        <v>-5</v>
      </c>
      <c r="Z11" s="32">
        <f t="shared" si="1"/>
        <v>85.114503816793899</v>
      </c>
      <c r="AA11" s="33">
        <f t="shared" si="6"/>
        <v>77.7</v>
      </c>
      <c r="AB11" s="34"/>
      <c r="AC11" s="35"/>
      <c r="AD11" s="36" t="s">
        <v>37</v>
      </c>
      <c r="AF11" s="38">
        <f t="shared" si="2"/>
        <v>7.4145038167938964</v>
      </c>
    </row>
    <row r="12" spans="1:32" s="41" customFormat="1" ht="79.95" customHeight="1" thickBot="1" x14ac:dyDescent="0.55000000000000004">
      <c r="A12" s="24" t="s">
        <v>44</v>
      </c>
      <c r="B12" s="24">
        <v>1760</v>
      </c>
      <c r="C12" s="25">
        <f>1506-1-2-1-1-3</f>
        <v>1498</v>
      </c>
      <c r="D12" s="25"/>
      <c r="E12" s="25"/>
      <c r="F12" s="26"/>
      <c r="G12" s="27">
        <f t="shared" si="8"/>
        <v>45572</v>
      </c>
      <c r="H12" s="24">
        <f t="shared" si="8"/>
        <v>99</v>
      </c>
      <c r="I12" s="24">
        <f t="shared" si="8"/>
        <v>23</v>
      </c>
      <c r="J12" s="28" t="str">
        <f t="shared" si="3"/>
        <v xml:space="preserve">SPESIAL </v>
      </c>
      <c r="K12" s="29">
        <f t="shared" si="0"/>
        <v>187.25</v>
      </c>
      <c r="L12" s="24">
        <v>125</v>
      </c>
      <c r="M12" s="24">
        <f t="shared" si="4"/>
        <v>114</v>
      </c>
      <c r="N12" s="29">
        <v>1497.5</v>
      </c>
      <c r="O12" s="24">
        <f t="shared" si="5"/>
        <v>2000</v>
      </c>
      <c r="P12" s="30">
        <v>40</v>
      </c>
      <c r="Q12" s="30"/>
      <c r="R12" s="30">
        <v>45</v>
      </c>
      <c r="S12" s="30"/>
      <c r="T12" s="30"/>
      <c r="U12" s="30"/>
      <c r="V12" s="30">
        <v>10</v>
      </c>
      <c r="W12" s="30"/>
      <c r="X12" s="24">
        <f t="shared" si="7"/>
        <v>1255</v>
      </c>
      <c r="Y12" s="31">
        <f>X12-'[1]2-9'!X12</f>
        <v>-7</v>
      </c>
      <c r="Z12" s="32">
        <f>X12/C12*100</f>
        <v>83.778371161548733</v>
      </c>
      <c r="AA12" s="33">
        <f t="shared" si="6"/>
        <v>77.7</v>
      </c>
      <c r="AB12" s="34"/>
      <c r="AC12" s="35"/>
      <c r="AD12" s="36" t="s">
        <v>37</v>
      </c>
      <c r="AF12" s="42">
        <f t="shared" si="2"/>
        <v>6.0783711615487306</v>
      </c>
    </row>
    <row r="13" spans="1:32" s="37" customFormat="1" ht="79.95" customHeight="1" thickBot="1" x14ac:dyDescent="0.55000000000000004">
      <c r="A13" s="24" t="s">
        <v>45</v>
      </c>
      <c r="B13" s="24">
        <v>1760</v>
      </c>
      <c r="C13" s="25">
        <f>1498-1-2-1-1-1-1-1</f>
        <v>1490</v>
      </c>
      <c r="D13" s="25"/>
      <c r="E13" s="25"/>
      <c r="F13" s="26"/>
      <c r="G13" s="27">
        <f t="shared" si="8"/>
        <v>45572</v>
      </c>
      <c r="H13" s="24">
        <f t="shared" si="8"/>
        <v>99</v>
      </c>
      <c r="I13" s="24">
        <f t="shared" si="8"/>
        <v>23</v>
      </c>
      <c r="J13" s="28" t="str">
        <f t="shared" si="3"/>
        <v xml:space="preserve">SPESIAL </v>
      </c>
      <c r="K13" s="29">
        <f t="shared" si="0"/>
        <v>186.25</v>
      </c>
      <c r="L13" s="24">
        <v>125</v>
      </c>
      <c r="M13" s="24">
        <f t="shared" si="4"/>
        <v>114</v>
      </c>
      <c r="N13" s="29">
        <v>1523.125</v>
      </c>
      <c r="O13" s="24">
        <f t="shared" si="5"/>
        <v>2000</v>
      </c>
      <c r="P13" s="30">
        <v>40</v>
      </c>
      <c r="Q13" s="30"/>
      <c r="R13" s="30">
        <v>30</v>
      </c>
      <c r="S13" s="30"/>
      <c r="T13" s="30"/>
      <c r="U13" s="30"/>
      <c r="V13" s="30">
        <v>15</v>
      </c>
      <c r="W13" s="30"/>
      <c r="X13" s="24">
        <f t="shared" si="7"/>
        <v>1245</v>
      </c>
      <c r="Y13" s="31">
        <f>X13-'[1]2-9'!X13</f>
        <v>0</v>
      </c>
      <c r="Z13" s="32">
        <f>X13/C13*100</f>
        <v>83.557046979865774</v>
      </c>
      <c r="AA13" s="33">
        <f t="shared" si="6"/>
        <v>77.7</v>
      </c>
      <c r="AB13" s="34"/>
      <c r="AC13" s="35"/>
      <c r="AD13" s="36" t="s">
        <v>37</v>
      </c>
      <c r="AF13" s="38">
        <f t="shared" si="2"/>
        <v>5.8570469798657712</v>
      </c>
    </row>
    <row r="14" spans="1:32" s="37" customFormat="1" ht="79.95" customHeight="1" thickBot="1" x14ac:dyDescent="0.55000000000000004">
      <c r="A14" s="24" t="s">
        <v>46</v>
      </c>
      <c r="B14" s="24">
        <v>1800</v>
      </c>
      <c r="C14" s="25">
        <f>1580-2-2-1</f>
        <v>1575</v>
      </c>
      <c r="D14" s="25"/>
      <c r="E14" s="25"/>
      <c r="F14" s="26"/>
      <c r="G14" s="27">
        <f t="shared" si="8"/>
        <v>45572</v>
      </c>
      <c r="H14" s="24">
        <f t="shared" si="8"/>
        <v>99</v>
      </c>
      <c r="I14" s="24">
        <f t="shared" si="8"/>
        <v>23</v>
      </c>
      <c r="J14" s="28" t="str">
        <f t="shared" si="3"/>
        <v xml:space="preserve">SPESIAL </v>
      </c>
      <c r="K14" s="29">
        <f t="shared" si="0"/>
        <v>196.875</v>
      </c>
      <c r="L14" s="24">
        <v>125</v>
      </c>
      <c r="M14" s="24">
        <f t="shared" si="4"/>
        <v>114</v>
      </c>
      <c r="N14" s="29">
        <v>1536.25</v>
      </c>
      <c r="O14" s="24">
        <f t="shared" si="5"/>
        <v>2000</v>
      </c>
      <c r="P14" s="30">
        <v>43</v>
      </c>
      <c r="Q14" s="30"/>
      <c r="R14" s="30">
        <v>50</v>
      </c>
      <c r="S14" s="30"/>
      <c r="T14" s="30"/>
      <c r="U14" s="30"/>
      <c r="V14" s="30">
        <v>10</v>
      </c>
      <c r="W14" s="30"/>
      <c r="X14" s="40">
        <f t="shared" si="7"/>
        <v>1350</v>
      </c>
      <c r="Y14" s="31">
        <f>X14-'[1]2-9'!X14</f>
        <v>-18</v>
      </c>
      <c r="Z14" s="32">
        <f t="shared" si="1"/>
        <v>85.714285714285708</v>
      </c>
      <c r="AA14" s="33">
        <f t="shared" si="6"/>
        <v>77.7</v>
      </c>
      <c r="AB14" s="34"/>
      <c r="AC14" s="35"/>
      <c r="AD14" s="36" t="s">
        <v>37</v>
      </c>
      <c r="AF14" s="38">
        <f t="shared" si="2"/>
        <v>8.0142857142857054</v>
      </c>
    </row>
    <row r="15" spans="1:32" s="37" customFormat="1" ht="79.95" customHeight="1" thickBot="1" x14ac:dyDescent="0.55000000000000004">
      <c r="A15" s="24" t="s">
        <v>47</v>
      </c>
      <c r="B15" s="24">
        <v>1360</v>
      </c>
      <c r="C15" s="25">
        <f>1198-1-1-1</f>
        <v>1195</v>
      </c>
      <c r="D15" s="25"/>
      <c r="E15" s="25"/>
      <c r="F15" s="26"/>
      <c r="G15" s="27">
        <f t="shared" si="8"/>
        <v>45572</v>
      </c>
      <c r="H15" s="24">
        <f t="shared" si="8"/>
        <v>99</v>
      </c>
      <c r="I15" s="24">
        <f t="shared" si="8"/>
        <v>23</v>
      </c>
      <c r="J15" s="28" t="str">
        <f t="shared" si="3"/>
        <v xml:space="preserve">SPESIAL </v>
      </c>
      <c r="K15" s="29">
        <f t="shared" si="0"/>
        <v>149.375</v>
      </c>
      <c r="L15" s="24">
        <v>125</v>
      </c>
      <c r="M15" s="24">
        <f t="shared" si="4"/>
        <v>114</v>
      </c>
      <c r="N15" s="29">
        <v>1389.375</v>
      </c>
      <c r="O15" s="24">
        <f t="shared" si="5"/>
        <v>2000</v>
      </c>
      <c r="P15" s="30">
        <v>30</v>
      </c>
      <c r="Q15" s="30"/>
      <c r="R15" s="30">
        <v>70</v>
      </c>
      <c r="S15" s="30"/>
      <c r="T15" s="30"/>
      <c r="U15" s="30"/>
      <c r="V15" s="30">
        <v>2</v>
      </c>
      <c r="W15" s="30"/>
      <c r="X15" s="24">
        <f>P15*30+Q15*30+R15+U15+V15+W15+S15+T15</f>
        <v>972</v>
      </c>
      <c r="Y15" s="31">
        <f>X15-'[1]2-9'!X15</f>
        <v>8</v>
      </c>
      <c r="Z15" s="32">
        <f t="shared" si="1"/>
        <v>81.338912133891213</v>
      </c>
      <c r="AA15" s="33">
        <f t="shared" si="6"/>
        <v>77.7</v>
      </c>
      <c r="AB15" s="34"/>
      <c r="AC15" s="35"/>
      <c r="AD15" s="36" t="s">
        <v>37</v>
      </c>
      <c r="AF15" s="38">
        <f t="shared" si="2"/>
        <v>3.6389121338912105</v>
      </c>
    </row>
    <row r="16" spans="1:32" s="37" customFormat="1" ht="79.95" customHeight="1" thickBot="1" x14ac:dyDescent="0.55000000000000004">
      <c r="A16" s="43" t="s">
        <v>48</v>
      </c>
      <c r="B16" s="24">
        <v>1360</v>
      </c>
      <c r="C16" s="25">
        <f>1189-1-1-1-2-1</f>
        <v>1183</v>
      </c>
      <c r="D16" s="25"/>
      <c r="E16" s="25"/>
      <c r="F16" s="44"/>
      <c r="G16" s="27">
        <f t="shared" si="8"/>
        <v>45572</v>
      </c>
      <c r="H16" s="24">
        <f t="shared" si="8"/>
        <v>99</v>
      </c>
      <c r="I16" s="24">
        <f t="shared" si="8"/>
        <v>23</v>
      </c>
      <c r="J16" s="28" t="str">
        <f t="shared" si="3"/>
        <v xml:space="preserve">SPESIAL </v>
      </c>
      <c r="K16" s="29">
        <f t="shared" si="0"/>
        <v>147.875</v>
      </c>
      <c r="L16" s="24">
        <v>125</v>
      </c>
      <c r="M16" s="24">
        <f>+M15</f>
        <v>114</v>
      </c>
      <c r="N16" s="45">
        <v>1483.125</v>
      </c>
      <c r="O16" s="24">
        <f t="shared" si="5"/>
        <v>2000</v>
      </c>
      <c r="P16" s="30">
        <v>30</v>
      </c>
      <c r="Q16" s="30"/>
      <c r="R16" s="30">
        <v>84</v>
      </c>
      <c r="S16" s="30"/>
      <c r="T16" s="30"/>
      <c r="U16" s="30"/>
      <c r="V16" s="30">
        <v>7</v>
      </c>
      <c r="W16" s="30"/>
      <c r="X16" s="24">
        <f t="shared" si="7"/>
        <v>991</v>
      </c>
      <c r="Y16" s="31">
        <f>X16-'[1]2-9'!X16</f>
        <v>-11</v>
      </c>
      <c r="Z16" s="32">
        <f t="shared" si="1"/>
        <v>83.77007607776838</v>
      </c>
      <c r="AA16" s="33">
        <f t="shared" si="6"/>
        <v>77.7</v>
      </c>
      <c r="AB16" s="34"/>
      <c r="AC16" s="35"/>
      <c r="AD16" s="36" t="s">
        <v>37</v>
      </c>
      <c r="AF16" s="38">
        <f t="shared" si="2"/>
        <v>6.0700760777683769</v>
      </c>
    </row>
    <row r="17" spans="1:32" s="37" customFormat="1" ht="79.95" customHeight="1" thickBot="1" x14ac:dyDescent="0.55000000000000004">
      <c r="A17" s="43" t="s">
        <v>49</v>
      </c>
      <c r="B17" s="24">
        <v>1040</v>
      </c>
      <c r="C17" s="25">
        <f>910-1-1-2-1-1-1</f>
        <v>903</v>
      </c>
      <c r="D17" s="25"/>
      <c r="E17" s="25"/>
      <c r="F17" s="26"/>
      <c r="G17" s="27">
        <f t="shared" si="8"/>
        <v>45572</v>
      </c>
      <c r="H17" s="24">
        <f t="shared" si="8"/>
        <v>99</v>
      </c>
      <c r="I17" s="24">
        <f t="shared" si="8"/>
        <v>23</v>
      </c>
      <c r="J17" s="28" t="str">
        <f t="shared" si="3"/>
        <v xml:space="preserve">SPESIAL </v>
      </c>
      <c r="K17" s="29">
        <f t="shared" si="0"/>
        <v>112.875</v>
      </c>
      <c r="L17" s="24">
        <v>125</v>
      </c>
      <c r="M17" s="24">
        <f t="shared" si="4"/>
        <v>114</v>
      </c>
      <c r="N17" s="29">
        <v>1492.5</v>
      </c>
      <c r="O17" s="24">
        <f t="shared" si="5"/>
        <v>2000</v>
      </c>
      <c r="P17" s="30">
        <v>20</v>
      </c>
      <c r="Q17" s="30"/>
      <c r="R17" s="30">
        <v>144</v>
      </c>
      <c r="S17" s="30"/>
      <c r="T17" s="30"/>
      <c r="U17" s="30"/>
      <c r="V17" s="30">
        <v>6</v>
      </c>
      <c r="W17" s="30"/>
      <c r="X17" s="24">
        <f t="shared" si="7"/>
        <v>750</v>
      </c>
      <c r="Y17" s="31">
        <f>X17-'[1]2-9'!X17</f>
        <v>-10</v>
      </c>
      <c r="Z17" s="32">
        <f t="shared" si="1"/>
        <v>83.056478405315616</v>
      </c>
      <c r="AA17" s="33">
        <f t="shared" si="6"/>
        <v>77.7</v>
      </c>
      <c r="AB17" s="34"/>
      <c r="AC17" s="35"/>
      <c r="AD17" s="36" t="s">
        <v>37</v>
      </c>
      <c r="AF17" s="38">
        <f t="shared" si="2"/>
        <v>5.3564784053156131</v>
      </c>
    </row>
    <row r="18" spans="1:32" s="37" customFormat="1" ht="79.95" customHeight="1" thickBot="1" x14ac:dyDescent="0.55000000000000004">
      <c r="A18" s="43" t="s">
        <v>50</v>
      </c>
      <c r="B18" s="24">
        <v>1040</v>
      </c>
      <c r="C18" s="25">
        <f>898-2-1-1-1-1</f>
        <v>892</v>
      </c>
      <c r="D18" s="25"/>
      <c r="E18" s="25"/>
      <c r="F18" s="26"/>
      <c r="G18" s="27">
        <f t="shared" si="8"/>
        <v>45572</v>
      </c>
      <c r="H18" s="24">
        <f t="shared" si="8"/>
        <v>99</v>
      </c>
      <c r="I18" s="24">
        <f t="shared" si="8"/>
        <v>23</v>
      </c>
      <c r="J18" s="28" t="str">
        <f t="shared" si="3"/>
        <v xml:space="preserve">SPESIAL </v>
      </c>
      <c r="K18" s="29">
        <f t="shared" si="0"/>
        <v>111.5</v>
      </c>
      <c r="L18" s="24">
        <v>125</v>
      </c>
      <c r="M18" s="24">
        <f t="shared" si="4"/>
        <v>114</v>
      </c>
      <c r="N18" s="29">
        <v>1487.5</v>
      </c>
      <c r="O18" s="24">
        <f t="shared" si="5"/>
        <v>2000</v>
      </c>
      <c r="P18" s="30">
        <v>20</v>
      </c>
      <c r="Q18" s="30"/>
      <c r="R18" s="30">
        <v>120</v>
      </c>
      <c r="S18" s="30"/>
      <c r="T18" s="30"/>
      <c r="U18" s="30"/>
      <c r="V18" s="30">
        <v>6</v>
      </c>
      <c r="W18" s="30"/>
      <c r="X18" s="24">
        <f t="shared" si="7"/>
        <v>726</v>
      </c>
      <c r="Y18" s="31">
        <f>X18-'[1]2-9'!X18</f>
        <v>-5</v>
      </c>
      <c r="Z18" s="32">
        <f t="shared" si="1"/>
        <v>81.390134529147986</v>
      </c>
      <c r="AA18" s="33">
        <f t="shared" si="6"/>
        <v>77.7</v>
      </c>
      <c r="AB18" s="34"/>
      <c r="AC18" s="35"/>
      <c r="AD18" s="36" t="s">
        <v>37</v>
      </c>
      <c r="AF18" s="38">
        <f t="shared" si="2"/>
        <v>3.6901345291479828</v>
      </c>
    </row>
    <row r="19" spans="1:32" s="37" customFormat="1" ht="79.95" customHeight="1" thickBot="1" x14ac:dyDescent="0.55000000000000004">
      <c r="A19" s="43" t="s">
        <v>51</v>
      </c>
      <c r="B19" s="24">
        <v>1040</v>
      </c>
      <c r="C19" s="25">
        <f>910-1</f>
        <v>909</v>
      </c>
      <c r="D19" s="25"/>
      <c r="E19" s="25"/>
      <c r="F19" s="26"/>
      <c r="G19" s="27">
        <f t="shared" si="8"/>
        <v>45572</v>
      </c>
      <c r="H19" s="24">
        <f t="shared" si="8"/>
        <v>99</v>
      </c>
      <c r="I19" s="24">
        <f t="shared" si="8"/>
        <v>23</v>
      </c>
      <c r="J19" s="28" t="str">
        <f t="shared" si="3"/>
        <v xml:space="preserve">SPESIAL </v>
      </c>
      <c r="K19" s="29">
        <f t="shared" si="0"/>
        <v>113.625</v>
      </c>
      <c r="L19" s="24">
        <v>125</v>
      </c>
      <c r="M19" s="24">
        <f t="shared" si="4"/>
        <v>114</v>
      </c>
      <c r="N19" s="29">
        <v>1442.25</v>
      </c>
      <c r="O19" s="24">
        <f t="shared" si="5"/>
        <v>2000</v>
      </c>
      <c r="P19" s="30">
        <v>23</v>
      </c>
      <c r="Q19" s="30"/>
      <c r="R19" s="30">
        <v>81</v>
      </c>
      <c r="S19" s="30"/>
      <c r="T19" s="30"/>
      <c r="U19" s="30"/>
      <c r="V19" s="30">
        <v>6</v>
      </c>
      <c r="W19" s="30"/>
      <c r="X19" s="24">
        <f t="shared" si="7"/>
        <v>777</v>
      </c>
      <c r="Y19" s="31">
        <f>X19-'[1]2-9'!X19</f>
        <v>13</v>
      </c>
      <c r="Z19" s="32">
        <f t="shared" si="1"/>
        <v>85.478547854785475</v>
      </c>
      <c r="AA19" s="33">
        <f t="shared" si="6"/>
        <v>77.7</v>
      </c>
      <c r="AB19" s="34"/>
      <c r="AC19" s="35"/>
      <c r="AD19" s="36" t="s">
        <v>37</v>
      </c>
      <c r="AF19" s="38">
        <f t="shared" si="2"/>
        <v>7.7785478547854723</v>
      </c>
    </row>
    <row r="20" spans="1:32" ht="28.2" customHeight="1" thickBot="1" x14ac:dyDescent="0.5">
      <c r="A20" s="46" t="s">
        <v>52</v>
      </c>
      <c r="B20" s="47"/>
      <c r="C20" s="48"/>
      <c r="D20" s="49">
        <f>SUM(D6:D19)</f>
        <v>0</v>
      </c>
      <c r="E20" s="49">
        <f>SUM(E6:E19)</f>
        <v>0</v>
      </c>
      <c r="F20" s="50"/>
      <c r="G20" s="51"/>
      <c r="H20" s="52"/>
      <c r="I20" s="53"/>
      <c r="J20" s="54"/>
      <c r="K20" s="55"/>
      <c r="L20" s="56"/>
      <c r="M20" s="56"/>
      <c r="N20" s="57"/>
      <c r="O20" s="56"/>
      <c r="P20" s="58">
        <f>SUM(P6:P19)*30</f>
        <v>11790</v>
      </c>
      <c r="Q20" s="58">
        <f>SUM(Q6:Q19)*30</f>
        <v>0</v>
      </c>
      <c r="R20" s="58">
        <f t="shared" ref="R20:W20" si="9">+SUM(R6:R19)</f>
        <v>911</v>
      </c>
      <c r="S20" s="58">
        <f t="shared" si="9"/>
        <v>0</v>
      </c>
      <c r="T20" s="58">
        <f t="shared" si="9"/>
        <v>0</v>
      </c>
      <c r="U20" s="58">
        <f t="shared" si="9"/>
        <v>0</v>
      </c>
      <c r="V20" s="58">
        <f t="shared" si="9"/>
        <v>88</v>
      </c>
      <c r="W20" s="58">
        <f t="shared" si="9"/>
        <v>0</v>
      </c>
      <c r="X20" s="59">
        <f>SUM(X6:X19)</f>
        <v>12789</v>
      </c>
      <c r="Y20" s="31">
        <f>X20-'[1]2-9'!X20</f>
        <v>-15</v>
      </c>
      <c r="Z20" s="60"/>
      <c r="AA20" s="61"/>
      <c r="AB20" s="62"/>
      <c r="AC20" s="63"/>
    </row>
    <row r="21" spans="1:32" ht="30.6" thickBot="1" x14ac:dyDescent="0.5">
      <c r="A21" s="64" t="s">
        <v>53</v>
      </c>
      <c r="B21" s="65"/>
      <c r="C21" s="65"/>
      <c r="D21" s="66"/>
      <c r="E21" s="67">
        <f>SUM(K6:K19)</f>
        <v>1914.625</v>
      </c>
      <c r="F21" s="68"/>
      <c r="G21" s="69"/>
      <c r="H21" s="69"/>
      <c r="I21" s="69"/>
      <c r="J21" s="69"/>
      <c r="K21" s="69"/>
      <c r="L21" s="69"/>
      <c r="M21" s="56"/>
      <c r="N21" s="70"/>
      <c r="O21" s="69"/>
      <c r="P21" s="69"/>
      <c r="Q21" s="69"/>
      <c r="R21" s="30"/>
      <c r="S21" s="30"/>
      <c r="T21" s="69"/>
      <c r="U21" s="69"/>
      <c r="V21" s="69"/>
      <c r="W21" s="69"/>
      <c r="X21" s="71">
        <f>+X20/300</f>
        <v>42.63</v>
      </c>
      <c r="Y21" s="31">
        <f>X21-'[1]2-9'!X21</f>
        <v>-4.9999999999997158E-2</v>
      </c>
      <c r="Z21" s="72">
        <f>+AVERAGE(Z12:Z19)</f>
        <v>83.510481607076102</v>
      </c>
      <c r="AA21" s="69"/>
      <c r="AB21" s="73"/>
      <c r="AC21" s="74"/>
    </row>
    <row r="22" spans="1:32" ht="30.6" thickBot="1" x14ac:dyDescent="0.5">
      <c r="A22" s="75" t="s">
        <v>54</v>
      </c>
      <c r="B22" s="76"/>
      <c r="C22" s="76"/>
      <c r="D22" s="77"/>
      <c r="E22" s="78">
        <f>SUM(B6:B19)</f>
        <v>17600</v>
      </c>
      <c r="F22" s="79"/>
      <c r="G22" s="69"/>
      <c r="H22" s="69"/>
      <c r="I22" s="69"/>
      <c r="J22" s="69"/>
      <c r="K22" s="69"/>
      <c r="L22" s="69"/>
      <c r="M22" s="69"/>
      <c r="N22" s="70"/>
      <c r="O22" s="69"/>
      <c r="P22" s="69"/>
      <c r="Q22" s="69"/>
      <c r="R22" s="30"/>
      <c r="S22" s="30"/>
      <c r="T22" s="69"/>
      <c r="U22" s="80"/>
      <c r="V22" s="69"/>
      <c r="W22" s="69"/>
      <c r="X22" s="69"/>
      <c r="Y22" s="31"/>
      <c r="Z22" s="69"/>
      <c r="AA22" s="69"/>
      <c r="AB22" s="81"/>
      <c r="AC22" s="82"/>
    </row>
    <row r="23" spans="1:32" ht="23.4" thickBot="1" x14ac:dyDescent="0.45">
      <c r="A23" s="64" t="s">
        <v>55</v>
      </c>
      <c r="B23" s="65"/>
      <c r="C23" s="65"/>
      <c r="D23" s="66"/>
      <c r="E23" s="67">
        <f>SUM(C6:C19)</f>
        <v>15317</v>
      </c>
      <c r="F23" s="68"/>
      <c r="G23" s="83"/>
      <c r="H23" s="69"/>
      <c r="I23" s="69"/>
      <c r="J23" s="83"/>
      <c r="K23" s="69"/>
      <c r="L23" s="69"/>
      <c r="M23" s="69"/>
      <c r="N23" s="70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84"/>
      <c r="Z23" s="69"/>
      <c r="AA23" s="69"/>
      <c r="AB23" s="75"/>
      <c r="AC23" s="77"/>
    </row>
    <row r="24" spans="1:32" ht="23.4" thickBot="1" x14ac:dyDescent="0.45">
      <c r="A24" s="69" t="s">
        <v>56</v>
      </c>
      <c r="B24" s="69"/>
      <c r="C24" s="69"/>
      <c r="D24" s="69"/>
      <c r="E24" s="69"/>
      <c r="F24" s="69"/>
      <c r="G24" s="85">
        <f>X20/N30*100</f>
        <v>83.495462557942162</v>
      </c>
      <c r="H24" s="50"/>
      <c r="I24" s="50"/>
      <c r="J24" s="50"/>
      <c r="K24" s="86"/>
      <c r="L24" s="50"/>
      <c r="M24" s="50"/>
      <c r="N24" s="70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84"/>
      <c r="Z24" s="75"/>
      <c r="AA24" s="77"/>
      <c r="AB24" s="75"/>
      <c r="AC24" s="77"/>
      <c r="AE24" s="2" t="s">
        <v>57</v>
      </c>
    </row>
    <row r="25" spans="1:32" ht="23.4" thickBot="1" x14ac:dyDescent="0.45">
      <c r="A25" s="69" t="s">
        <v>58</v>
      </c>
      <c r="B25" s="69"/>
      <c r="C25" s="69"/>
      <c r="D25" s="83"/>
      <c r="E25" s="69"/>
      <c r="F25" s="69"/>
      <c r="G25" s="85">
        <f>X21/N31*100</f>
        <v>0.27831820852647388</v>
      </c>
      <c r="H25" s="50"/>
      <c r="I25" s="50" t="s">
        <v>59</v>
      </c>
      <c r="J25" s="50"/>
      <c r="K25" s="86"/>
      <c r="L25" s="50"/>
      <c r="M25" s="50" t="s">
        <v>60</v>
      </c>
      <c r="N25" s="70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84"/>
      <c r="Z25" s="75"/>
      <c r="AA25" s="77"/>
      <c r="AB25" s="75"/>
      <c r="AC25" s="77"/>
    </row>
    <row r="26" spans="1:32" ht="22.8" x14ac:dyDescent="0.4">
      <c r="A26" s="5"/>
      <c r="B26" s="5"/>
      <c r="C26" s="5"/>
      <c r="D26" s="5"/>
      <c r="E26" s="5"/>
      <c r="F26" s="5"/>
      <c r="G26" s="5"/>
      <c r="H26" s="87"/>
      <c r="I26" s="87"/>
      <c r="J26" s="87"/>
      <c r="K26" s="87"/>
      <c r="L26" s="87"/>
      <c r="M26" s="87"/>
      <c r="N26" s="6"/>
      <c r="O26" s="5"/>
      <c r="P26" s="5"/>
      <c r="Q26" s="5"/>
      <c r="R26" s="5"/>
      <c r="S26" s="5"/>
      <c r="T26" s="5"/>
      <c r="U26" s="5"/>
      <c r="V26" s="5"/>
      <c r="W26" s="5"/>
      <c r="X26" s="5"/>
      <c r="Z26" s="5"/>
      <c r="AA26" s="5"/>
      <c r="AB26" s="5"/>
      <c r="AC26" s="5"/>
    </row>
    <row r="27" spans="1:32" ht="22.8" x14ac:dyDescent="0.4">
      <c r="A27" s="88" t="s">
        <v>61</v>
      </c>
      <c r="B27" s="88"/>
      <c r="C27" s="88"/>
      <c r="D27" s="89">
        <v>0</v>
      </c>
      <c r="E27" s="89"/>
      <c r="F27" s="5"/>
      <c r="G27" s="90" t="s">
        <v>62</v>
      </c>
      <c r="H27" s="90"/>
      <c r="I27" s="90"/>
      <c r="J27" s="90"/>
      <c r="K27" s="90"/>
      <c r="L27" s="90"/>
      <c r="M27" s="90"/>
      <c r="N27" s="91"/>
      <c r="O27" s="91"/>
      <c r="P27" s="5"/>
      <c r="Q27" s="92" t="s">
        <v>63</v>
      </c>
      <c r="R27" s="92"/>
      <c r="S27" s="92"/>
      <c r="T27" s="92"/>
      <c r="U27" s="92"/>
      <c r="V27" s="92"/>
      <c r="W27" s="92"/>
      <c r="X27" s="92"/>
      <c r="Y27" s="92"/>
      <c r="Z27" s="92">
        <f>+X19+X18+X17+X16+X15+X14+X13+X12+X11+X10+X9+X8+X7+X6</f>
        <v>12789</v>
      </c>
      <c r="AA27" s="92"/>
      <c r="AB27" s="5" t="s">
        <v>64</v>
      </c>
      <c r="AC27" s="5"/>
    </row>
    <row r="28" spans="1:32" ht="22.8" x14ac:dyDescent="0.4">
      <c r="A28" s="93" t="s">
        <v>65</v>
      </c>
      <c r="B28" s="94"/>
      <c r="C28" s="94"/>
      <c r="D28" s="95">
        <f>+K19+K18+K17+K16+K15+K14+K13+K12+K11+K10+K9+K8+K7+K6</f>
        <v>1914.625</v>
      </c>
      <c r="E28" s="95"/>
      <c r="F28" s="5"/>
      <c r="G28" s="96" t="s">
        <v>66</v>
      </c>
      <c r="H28" s="96"/>
      <c r="I28" s="96"/>
      <c r="J28" s="96"/>
      <c r="K28" s="96"/>
      <c r="L28" s="96"/>
      <c r="M28" s="96"/>
      <c r="N28" s="97">
        <f>+C6+C7+C8+C9+C10+C11+C12+C13+C14+C15+C16++C17+C18+C19</f>
        <v>15317</v>
      </c>
      <c r="O28" s="97"/>
      <c r="P28" s="5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5" t="s">
        <v>64</v>
      </c>
      <c r="AC28" s="5"/>
    </row>
    <row r="29" spans="1:32" ht="22.8" x14ac:dyDescent="0.4">
      <c r="A29" s="98" t="s">
        <v>67</v>
      </c>
      <c r="B29" s="98"/>
      <c r="C29" s="98"/>
      <c r="D29" s="99"/>
      <c r="E29" s="99"/>
      <c r="F29" s="5"/>
      <c r="G29" s="100" t="s">
        <v>68</v>
      </c>
      <c r="H29" s="100"/>
      <c r="I29" s="100"/>
      <c r="J29" s="100"/>
      <c r="K29" s="100"/>
      <c r="L29" s="100"/>
      <c r="M29" s="100"/>
      <c r="N29" s="97"/>
      <c r="O29" s="97"/>
      <c r="P29" s="5"/>
      <c r="Q29" s="5"/>
      <c r="R29" s="5"/>
      <c r="S29" s="5"/>
      <c r="T29" s="5"/>
      <c r="U29" s="5"/>
      <c r="V29" s="5"/>
      <c r="W29" s="5"/>
      <c r="X29" s="5">
        <v>0</v>
      </c>
      <c r="Y29" s="5"/>
      <c r="Z29" s="5"/>
      <c r="AA29" s="5"/>
      <c r="AB29" s="5"/>
      <c r="AC29" s="5"/>
    </row>
    <row r="30" spans="1:32" ht="22.8" x14ac:dyDescent="0.4">
      <c r="A30" s="101" t="s">
        <v>69</v>
      </c>
      <c r="B30" s="101"/>
      <c r="C30" s="101"/>
      <c r="D30" s="102">
        <v>0</v>
      </c>
      <c r="E30" s="102"/>
      <c r="F30" s="5"/>
      <c r="G30" s="103" t="s">
        <v>70</v>
      </c>
      <c r="H30" s="103"/>
      <c r="I30" s="103"/>
      <c r="J30" s="103"/>
      <c r="K30" s="103"/>
      <c r="L30" s="103"/>
      <c r="M30" s="103"/>
      <c r="N30" s="104">
        <f>N27+N28+N29</f>
        <v>15317</v>
      </c>
      <c r="O30" s="104"/>
      <c r="P30" s="5"/>
      <c r="Q30" s="5"/>
      <c r="R30" s="5"/>
      <c r="S30" s="5"/>
      <c r="T30" s="5"/>
      <c r="U30" s="5"/>
      <c r="V30" s="5"/>
      <c r="W30" s="5"/>
      <c r="X30" s="5"/>
      <c r="Y30" s="5"/>
      <c r="Z30" s="92"/>
      <c r="AA30" s="92"/>
      <c r="AB30" s="5"/>
      <c r="AC30" s="5"/>
    </row>
    <row r="31" spans="1:32" ht="22.8" x14ac:dyDescent="0.4">
      <c r="A31" s="5" t="s">
        <v>71</v>
      </c>
      <c r="B31" s="5"/>
      <c r="C31" s="5"/>
      <c r="D31" s="105"/>
      <c r="E31" s="105"/>
      <c r="F31" s="5"/>
      <c r="G31" s="106" t="s">
        <v>72</v>
      </c>
      <c r="H31" s="106"/>
      <c r="I31" s="106"/>
      <c r="J31" s="106"/>
      <c r="K31" s="106"/>
      <c r="L31" s="106"/>
      <c r="M31" s="106"/>
      <c r="N31" s="107">
        <f>+C6+C7+C8+C9+C10+C11+C12+C13+C14+C15+C16+C17+C18+C19</f>
        <v>15317</v>
      </c>
      <c r="O31" s="107"/>
      <c r="P31" s="5"/>
      <c r="Q31" s="5"/>
      <c r="R31" s="108"/>
      <c r="S31" s="5"/>
      <c r="T31" s="5"/>
      <c r="U31" s="5"/>
      <c r="V31" s="5"/>
      <c r="W31" s="5"/>
      <c r="X31" s="109"/>
      <c r="Y31" s="109"/>
      <c r="Z31" s="109"/>
      <c r="AA31" s="5">
        <f>83.3-81</f>
        <v>2.2999999999999972</v>
      </c>
      <c r="AB31" s="5"/>
      <c r="AC31" s="5"/>
    </row>
    <row r="32" spans="1:32" ht="22.8" x14ac:dyDescent="0.4">
      <c r="A32" s="110" t="s">
        <v>73</v>
      </c>
      <c r="B32" s="110"/>
      <c r="C32" s="110"/>
      <c r="D32" s="111"/>
      <c r="E32" s="111"/>
      <c r="F32" s="5"/>
      <c r="G32" s="5"/>
      <c r="H32" s="5"/>
      <c r="I32" s="5"/>
      <c r="J32" s="5"/>
      <c r="K32" s="5"/>
      <c r="L32" s="5"/>
      <c r="M32" s="5"/>
      <c r="N32" s="6"/>
      <c r="O32" s="5"/>
      <c r="P32" s="5"/>
      <c r="Q32" s="5"/>
      <c r="R32" s="5"/>
      <c r="S32" s="5"/>
      <c r="T32" s="5"/>
      <c r="U32" s="5"/>
      <c r="V32" s="112"/>
      <c r="W32" s="5"/>
      <c r="X32" s="109"/>
      <c r="Y32" s="5"/>
      <c r="Z32" s="5"/>
      <c r="AA32" s="5"/>
      <c r="AB32" s="5"/>
      <c r="AC32" s="5"/>
    </row>
    <row r="33" spans="1:29" ht="22.8" x14ac:dyDescent="0.4">
      <c r="A33" s="5"/>
      <c r="B33" s="5"/>
      <c r="C33" s="5"/>
      <c r="D33" s="5"/>
      <c r="E33" s="5"/>
      <c r="F33" s="5"/>
      <c r="G33" s="5" t="s">
        <v>57</v>
      </c>
      <c r="H33" s="5"/>
      <c r="I33" s="5"/>
      <c r="J33" s="5"/>
      <c r="K33" s="5"/>
      <c r="L33" s="5"/>
      <c r="M33" s="5"/>
      <c r="N33" s="6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24.6" x14ac:dyDescent="0.4">
      <c r="A34" s="90" t="s">
        <v>74</v>
      </c>
      <c r="B34" s="90"/>
      <c r="C34" s="90"/>
      <c r="D34" s="113">
        <v>0</v>
      </c>
      <c r="E34" s="113"/>
      <c r="F34" s="113"/>
      <c r="G34" s="114"/>
      <c r="H34" s="113">
        <f>+D34-0</f>
        <v>0</v>
      </c>
      <c r="I34" s="113"/>
      <c r="J34" s="113"/>
      <c r="K34" s="115" t="s">
        <v>75</v>
      </c>
      <c r="L34" s="115"/>
      <c r="M34" s="115"/>
      <c r="N34" s="6"/>
      <c r="O34" s="5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5"/>
    </row>
    <row r="35" spans="1:29" ht="24.6" x14ac:dyDescent="0.4">
      <c r="A35" s="117" t="s">
        <v>76</v>
      </c>
      <c r="B35" s="117"/>
      <c r="C35" s="117"/>
      <c r="D35" s="118">
        <f>+X6+X7+X8+X9+X10+X11+X12+X13+X14+X15+X16+X17+X18+X19</f>
        <v>12789</v>
      </c>
      <c r="E35" s="118"/>
      <c r="F35" s="118"/>
      <c r="G35" s="119" t="s">
        <v>77</v>
      </c>
      <c r="H35" s="120">
        <f>+D35-12804</f>
        <v>-15</v>
      </c>
      <c r="I35" s="120"/>
      <c r="J35" s="120"/>
      <c r="K35" s="121" t="s">
        <v>75</v>
      </c>
      <c r="L35" s="121"/>
      <c r="M35" s="122"/>
      <c r="N35" s="6"/>
      <c r="O35" s="5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</row>
    <row r="36" spans="1:29" ht="24.6" x14ac:dyDescent="0.4">
      <c r="A36" s="100" t="s">
        <v>78</v>
      </c>
      <c r="B36" s="100"/>
      <c r="C36" s="100"/>
      <c r="D36" s="124">
        <v>0</v>
      </c>
      <c r="E36" s="124"/>
      <c r="F36" s="124"/>
      <c r="G36" s="119"/>
      <c r="H36" s="125"/>
      <c r="I36" s="125"/>
      <c r="J36" s="125"/>
      <c r="K36" s="126" t="s">
        <v>75</v>
      </c>
      <c r="L36" s="126"/>
      <c r="M36" s="126"/>
      <c r="N36" s="6"/>
      <c r="O36" s="5"/>
      <c r="P36" s="92" t="s">
        <v>57</v>
      </c>
      <c r="Q36" s="92"/>
      <c r="R36" s="92"/>
      <c r="S36" s="92"/>
      <c r="T36" s="92"/>
      <c r="U36" s="92"/>
      <c r="V36" s="92"/>
      <c r="W36" s="92"/>
      <c r="X36" s="92"/>
      <c r="Y36" s="5"/>
      <c r="Z36" s="5"/>
      <c r="AA36" s="5"/>
      <c r="AB36" s="5"/>
      <c r="AC36" s="5"/>
    </row>
    <row r="37" spans="1:29" ht="25.2" x14ac:dyDescent="0.45">
      <c r="A37" s="106" t="s">
        <v>79</v>
      </c>
      <c r="B37" s="106"/>
      <c r="C37" s="106"/>
      <c r="D37" s="127">
        <f>SUM(D34:F36)</f>
        <v>12789</v>
      </c>
      <c r="E37" s="127"/>
      <c r="F37" s="127"/>
      <c r="G37" s="119" t="s">
        <v>77</v>
      </c>
      <c r="H37" s="120">
        <f>SUM(H34:J36)</f>
        <v>-15</v>
      </c>
      <c r="I37" s="120"/>
      <c r="J37" s="120"/>
      <c r="K37" s="128" t="s">
        <v>75</v>
      </c>
      <c r="L37" s="128"/>
      <c r="M37" s="128"/>
      <c r="N37" s="6"/>
      <c r="O37" s="129"/>
      <c r="P37" s="130" t="str">
        <f>+A3</f>
        <v>TANGGAL : KAMIS, 3 SEPTEMBER 2026 (BALAI RUPIH)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1"/>
    </row>
    <row r="38" spans="1:29" ht="23.4" x14ac:dyDescent="0.45">
      <c r="A38" s="129" t="s">
        <v>80</v>
      </c>
      <c r="B38" s="129"/>
      <c r="C38" s="129"/>
      <c r="D38" s="129">
        <f>SUM(D6:D19)</f>
        <v>0</v>
      </c>
      <c r="E38" s="129"/>
      <c r="F38" s="129" t="s">
        <v>81</v>
      </c>
      <c r="G38" s="129"/>
      <c r="H38" s="129"/>
      <c r="I38" s="129"/>
      <c r="J38" s="129"/>
      <c r="K38" s="129"/>
      <c r="L38" s="5"/>
      <c r="M38" s="5"/>
      <c r="N38" s="6"/>
      <c r="O38" s="5"/>
      <c r="P38" s="5"/>
      <c r="Q38" s="5" t="s">
        <v>82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23.4" x14ac:dyDescent="0.45">
      <c r="A39" s="132" t="s">
        <v>83</v>
      </c>
      <c r="B39" s="132"/>
      <c r="C39" s="129"/>
      <c r="D39" s="133"/>
      <c r="E39" s="129"/>
      <c r="F39" s="129" t="s">
        <v>81</v>
      </c>
      <c r="G39" s="129"/>
      <c r="H39" s="129"/>
      <c r="I39" s="129"/>
      <c r="J39" s="129"/>
      <c r="K39" s="129"/>
      <c r="L39" s="5"/>
      <c r="M39" s="5"/>
      <c r="N39" s="6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23.4" x14ac:dyDescent="0.45">
      <c r="A40" s="132" t="s">
        <v>84</v>
      </c>
      <c r="B40" s="132"/>
      <c r="C40" s="129"/>
      <c r="D40" s="133">
        <f>+SUM(E6:E19)</f>
        <v>0</v>
      </c>
      <c r="E40" s="129"/>
      <c r="F40" s="129" t="s">
        <v>81</v>
      </c>
      <c r="G40" s="129"/>
      <c r="H40" s="129"/>
      <c r="I40" s="129"/>
      <c r="J40" s="129"/>
      <c r="K40" s="129"/>
      <c r="L40" s="5"/>
      <c r="M40" s="5"/>
      <c r="N40" s="6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25.8" x14ac:dyDescent="0.3">
      <c r="A41" s="23"/>
      <c r="B41" s="23"/>
      <c r="C41" s="134"/>
      <c r="D41" s="23"/>
      <c r="E41" s="23"/>
      <c r="F41" s="23"/>
      <c r="G41" s="23"/>
      <c r="H41" s="23"/>
      <c r="I41" s="23"/>
      <c r="J41" s="135"/>
      <c r="K41" s="23"/>
      <c r="L41" s="23"/>
      <c r="M41" s="23"/>
      <c r="N41" s="23"/>
      <c r="O41" s="23"/>
      <c r="P41" s="23" t="s">
        <v>57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3" spans="1:29" x14ac:dyDescent="0.3">
      <c r="G43" s="136"/>
    </row>
  </sheetData>
  <mergeCells count="77">
    <mergeCell ref="A37:C37"/>
    <mergeCell ref="D37:F37"/>
    <mergeCell ref="H37:J37"/>
    <mergeCell ref="P37:AB37"/>
    <mergeCell ref="A39:B39"/>
    <mergeCell ref="A40:B40"/>
    <mergeCell ref="A35:C35"/>
    <mergeCell ref="D35:F35"/>
    <mergeCell ref="H35:J35"/>
    <mergeCell ref="P35:AC35"/>
    <mergeCell ref="A36:C36"/>
    <mergeCell ref="D36:F36"/>
    <mergeCell ref="P36:X36"/>
    <mergeCell ref="Z30:AA30"/>
    <mergeCell ref="D31:E31"/>
    <mergeCell ref="G31:M31"/>
    <mergeCell ref="N31:O31"/>
    <mergeCell ref="A34:C34"/>
    <mergeCell ref="D34:F34"/>
    <mergeCell ref="H34:J34"/>
    <mergeCell ref="D29:E29"/>
    <mergeCell ref="G29:M29"/>
    <mergeCell ref="N29:O29"/>
    <mergeCell ref="D30:E30"/>
    <mergeCell ref="G30:M30"/>
    <mergeCell ref="N30:O30"/>
    <mergeCell ref="D27:E27"/>
    <mergeCell ref="G27:M27"/>
    <mergeCell ref="N27:O27"/>
    <mergeCell ref="Q27:Y27"/>
    <mergeCell ref="Z27:AA27"/>
    <mergeCell ref="D28:E28"/>
    <mergeCell ref="G28:M28"/>
    <mergeCell ref="N28:O28"/>
    <mergeCell ref="Q28:Y28"/>
    <mergeCell ref="Z28:AA28"/>
    <mergeCell ref="A23:D23"/>
    <mergeCell ref="E23:F23"/>
    <mergeCell ref="AB23:AC23"/>
    <mergeCell ref="Z24:AA24"/>
    <mergeCell ref="AB24:AC24"/>
    <mergeCell ref="Z25:AA25"/>
    <mergeCell ref="AB25:AC25"/>
    <mergeCell ref="A21:D21"/>
    <mergeCell ref="E21:F21"/>
    <mergeCell ref="AB21:AC21"/>
    <mergeCell ref="A22:D22"/>
    <mergeCell ref="E22:F22"/>
    <mergeCell ref="AB22:AC22"/>
    <mergeCell ref="AB16:AC16"/>
    <mergeCell ref="AB17:AC17"/>
    <mergeCell ref="AB18:AC18"/>
    <mergeCell ref="AB19:AC19"/>
    <mergeCell ref="A20:C20"/>
    <mergeCell ref="AB20:AC20"/>
    <mergeCell ref="AB10:AC10"/>
    <mergeCell ref="AB11:AC11"/>
    <mergeCell ref="AB12:AC12"/>
    <mergeCell ref="AB13:AC13"/>
    <mergeCell ref="AB14:AC14"/>
    <mergeCell ref="AB15:AC15"/>
    <mergeCell ref="AB4:AC4"/>
    <mergeCell ref="AB5:AC5"/>
    <mergeCell ref="AB6:AC6"/>
    <mergeCell ref="AB7:AC7"/>
    <mergeCell ref="AB8:AC8"/>
    <mergeCell ref="AB9:AC9"/>
    <mergeCell ref="A1:AC1"/>
    <mergeCell ref="A2:AC2"/>
    <mergeCell ref="A3:I3"/>
    <mergeCell ref="A4:A5"/>
    <mergeCell ref="B4:B5"/>
    <mergeCell ref="C4:F4"/>
    <mergeCell ref="G4:I4"/>
    <mergeCell ref="J4:M4"/>
    <mergeCell ref="N4:O4"/>
    <mergeCell ref="P4:AA4"/>
  </mergeCells>
  <pageMargins left="0" right="0" top="0.39370078740157499" bottom="0" header="0.31496062992126" footer="0.31496062992126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3-9</vt:lpstr>
      <vt:lpstr>'3-9'!Print_Area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CHAN</dc:creator>
  <cp:lastModifiedBy>ARIF CHAN</cp:lastModifiedBy>
  <dcterms:created xsi:type="dcterms:W3CDTF">2026-09-03T10:40:43Z</dcterms:created>
  <dcterms:modified xsi:type="dcterms:W3CDTF">2026-09-03T10:41:01Z</dcterms:modified>
</cp:coreProperties>
</file>