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\Downloads\"/>
    </mc:Choice>
  </mc:AlternateContent>
  <xr:revisionPtr revIDLastSave="0" documentId="8_{C4B56DE1-E30F-4569-9E17-AF7CEFF87FCC}" xr6:coauthVersionLast="47" xr6:coauthVersionMax="47" xr10:uidLastSave="{00000000-0000-0000-0000-000000000000}"/>
  <bookViews>
    <workbookView xWindow="-108" yWindow="-108" windowWidth="23256" windowHeight="13176" xr2:uid="{30BC6210-8B2E-47BF-96E4-F834C00DA847}"/>
  </bookViews>
  <sheets>
    <sheet name="3-9" sheetId="1" r:id="rId1"/>
  </sheets>
  <externalReferences>
    <externalReference r:id="rId2"/>
  </externalReferences>
  <definedNames>
    <definedName name="_xlnm.Print_Area" localSheetId="0">'3-9'!$A$1:$AD$45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62" i="1" l="1"/>
  <c r="D47" i="1"/>
  <c r="D45" i="1"/>
  <c r="P44" i="1"/>
  <c r="E31" i="1"/>
  <c r="P30" i="1"/>
  <c r="X29" i="1"/>
  <c r="W29" i="1"/>
  <c r="V29" i="1"/>
  <c r="Y29" i="1" s="1"/>
  <c r="U29" i="1"/>
  <c r="T29" i="1"/>
  <c r="S29" i="1"/>
  <c r="R29" i="1"/>
  <c r="Q29" i="1"/>
  <c r="Q30" i="1" s="1"/>
  <c r="P29" i="1"/>
  <c r="J29" i="1"/>
  <c r="F29" i="1"/>
  <c r="E29" i="1"/>
  <c r="D29" i="1"/>
  <c r="C29" i="1"/>
  <c r="AA30" i="1" s="1"/>
  <c r="Y28" i="1"/>
  <c r="AA28" i="1" s="1"/>
  <c r="AG28" i="1" s="1"/>
  <c r="C28" i="1"/>
  <c r="Y27" i="1"/>
  <c r="Z27" i="1" s="1"/>
  <c r="C27" i="1"/>
  <c r="Y26" i="1"/>
  <c r="AA26" i="1" s="1"/>
  <c r="AG26" i="1" s="1"/>
  <c r="C26" i="1"/>
  <c r="Y25" i="1"/>
  <c r="AA25" i="1" s="1"/>
  <c r="AG25" i="1" s="1"/>
  <c r="C25" i="1"/>
  <c r="Y24" i="1"/>
  <c r="AA24" i="1" s="1"/>
  <c r="AG24" i="1" s="1"/>
  <c r="C24" i="1"/>
  <c r="Z23" i="1"/>
  <c r="Y23" i="1"/>
  <c r="AA23" i="1" s="1"/>
  <c r="AG23" i="1" s="1"/>
  <c r="C23" i="1"/>
  <c r="Y22" i="1"/>
  <c r="AA22" i="1" s="1"/>
  <c r="M22" i="1"/>
  <c r="M23" i="1" s="1"/>
  <c r="M24" i="1" s="1"/>
  <c r="C22" i="1"/>
  <c r="Y21" i="1"/>
  <c r="Z21" i="1" s="1"/>
  <c r="O21" i="1"/>
  <c r="M21" i="1"/>
  <c r="J21" i="1"/>
  <c r="H21" i="1"/>
  <c r="C21" i="1"/>
  <c r="K21" i="1" s="1"/>
  <c r="AA20" i="1"/>
  <c r="AG20" i="1" s="1"/>
  <c r="Z20" i="1"/>
  <c r="Y20" i="1"/>
  <c r="D43" i="1" s="1"/>
  <c r="H43" i="1" s="1"/>
  <c r="O20" i="1"/>
  <c r="J20" i="1"/>
  <c r="H20" i="1"/>
  <c r="C20" i="1"/>
  <c r="K20" i="1" s="1"/>
  <c r="AA19" i="1"/>
  <c r="AG19" i="1" s="1"/>
  <c r="Z19" i="1"/>
  <c r="Y19" i="1"/>
  <c r="O19" i="1"/>
  <c r="M19" i="1"/>
  <c r="J19" i="1"/>
  <c r="H19" i="1"/>
  <c r="C19" i="1"/>
  <c r="K19" i="1" s="1"/>
  <c r="AB18" i="1"/>
  <c r="AB19" i="1" s="1"/>
  <c r="AB20" i="1" s="1"/>
  <c r="AB21" i="1" s="1"/>
  <c r="Z18" i="1"/>
  <c r="Y18" i="1"/>
  <c r="O18" i="1"/>
  <c r="M18" i="1"/>
  <c r="M20" i="1" s="1"/>
  <c r="J18" i="1"/>
  <c r="I18" i="1"/>
  <c r="I19" i="1" s="1"/>
  <c r="I20" i="1" s="1"/>
  <c r="I21" i="1" s="1"/>
  <c r="H18" i="1"/>
  <c r="C18" i="1"/>
  <c r="K18" i="1" s="1"/>
  <c r="AG17" i="1"/>
  <c r="AA17" i="1"/>
  <c r="Z17" i="1"/>
  <c r="Y17" i="1"/>
  <c r="C17" i="1"/>
  <c r="K17" i="1" s="1"/>
  <c r="Y16" i="1"/>
  <c r="AA16" i="1" s="1"/>
  <c r="K16" i="1"/>
  <c r="J16" i="1"/>
  <c r="I16" i="1"/>
  <c r="C16" i="1"/>
  <c r="AB15" i="1"/>
  <c r="AB16" i="1" s="1"/>
  <c r="Y15" i="1"/>
  <c r="AA15" i="1" s="1"/>
  <c r="AG15" i="1" s="1"/>
  <c r="O15" i="1"/>
  <c r="O16" i="1" s="1"/>
  <c r="K15" i="1"/>
  <c r="J15" i="1"/>
  <c r="I15" i="1"/>
  <c r="H15" i="1"/>
  <c r="H16" i="1" s="1"/>
  <c r="C15" i="1"/>
  <c r="Y14" i="1"/>
  <c r="D41" i="1" s="1"/>
  <c r="C14" i="1"/>
  <c r="K14" i="1" s="1"/>
  <c r="AB13" i="1"/>
  <c r="Y13" i="1"/>
  <c r="AA13" i="1" s="1"/>
  <c r="AG13" i="1" s="1"/>
  <c r="O13" i="1"/>
  <c r="M13" i="1"/>
  <c r="L13" i="1"/>
  <c r="K13" i="1"/>
  <c r="I13" i="1"/>
  <c r="H13" i="1"/>
  <c r="C13" i="1"/>
  <c r="Y12" i="1"/>
  <c r="AA12" i="1" s="1"/>
  <c r="AG12" i="1" s="1"/>
  <c r="M12" i="1"/>
  <c r="C12" i="1"/>
  <c r="AA11" i="1"/>
  <c r="AG11" i="1" s="1"/>
  <c r="Y11" i="1"/>
  <c r="Z11" i="1" s="1"/>
  <c r="M11" i="1"/>
  <c r="C11" i="1"/>
  <c r="Y10" i="1"/>
  <c r="D42" i="1" s="1"/>
  <c r="H42" i="1" s="1"/>
  <c r="C10" i="1"/>
  <c r="AB9" i="1"/>
  <c r="AB10" i="1" s="1"/>
  <c r="AB11" i="1" s="1"/>
  <c r="AB12" i="1" s="1"/>
  <c r="AB22" i="1" s="1"/>
  <c r="AB23" i="1" s="1"/>
  <c r="AB24" i="1" s="1"/>
  <c r="AA9" i="1"/>
  <c r="AG9" i="1" s="1"/>
  <c r="Z9" i="1"/>
  <c r="Y9" i="1"/>
  <c r="L9" i="1"/>
  <c r="L10" i="1" s="1"/>
  <c r="C9" i="1"/>
  <c r="K9" i="1" s="1"/>
  <c r="AB8" i="1"/>
  <c r="Y8" i="1"/>
  <c r="Z8" i="1" s="1"/>
  <c r="M8" i="1"/>
  <c r="M10" i="1" s="1"/>
  <c r="I8" i="1"/>
  <c r="I9" i="1" s="1"/>
  <c r="I10" i="1" s="1"/>
  <c r="I11" i="1" s="1"/>
  <c r="I12" i="1" s="1"/>
  <c r="I22" i="1" s="1"/>
  <c r="I23" i="1" s="1"/>
  <c r="I24" i="1" s="1"/>
  <c r="H8" i="1"/>
  <c r="H23" i="1" s="1"/>
  <c r="C8" i="1"/>
  <c r="AA8" i="1" s="1"/>
  <c r="AG8" i="1" s="1"/>
  <c r="AB7" i="1"/>
  <c r="Y7" i="1"/>
  <c r="AA7" i="1" s="1"/>
  <c r="AG7" i="1" s="1"/>
  <c r="O7" i="1"/>
  <c r="O8" i="1" s="1"/>
  <c r="O9" i="1" s="1"/>
  <c r="O10" i="1" s="1"/>
  <c r="O11" i="1" s="1"/>
  <c r="O12" i="1" s="1"/>
  <c r="O22" i="1" s="1"/>
  <c r="O23" i="1" s="1"/>
  <c r="O24" i="1" s="1"/>
  <c r="M7" i="1"/>
  <c r="L7" i="1"/>
  <c r="K7" i="1"/>
  <c r="J7" i="1"/>
  <c r="J8" i="1" s="1"/>
  <c r="J9" i="1" s="1"/>
  <c r="J10" i="1" s="1"/>
  <c r="J11" i="1" s="1"/>
  <c r="J12" i="1" s="1"/>
  <c r="I7" i="1"/>
  <c r="H7" i="1"/>
  <c r="C7" i="1"/>
  <c r="Y6" i="1"/>
  <c r="AA6" i="1" s="1"/>
  <c r="AG6" i="1" s="1"/>
  <c r="K6" i="1"/>
  <c r="C6" i="1"/>
  <c r="N40" i="1" s="1"/>
  <c r="D44" i="1" l="1"/>
  <c r="H41" i="1"/>
  <c r="H44" i="1" s="1"/>
  <c r="AG16" i="1"/>
  <c r="K10" i="1"/>
  <c r="L11" i="1"/>
  <c r="Y30" i="1"/>
  <c r="Z29" i="1"/>
  <c r="G33" i="1"/>
  <c r="J22" i="1"/>
  <c r="J23" i="1" s="1"/>
  <c r="J24" i="1" s="1"/>
  <c r="J13" i="1"/>
  <c r="AG22" i="1"/>
  <c r="AA18" i="1"/>
  <c r="AG18" i="1" s="1"/>
  <c r="H24" i="1"/>
  <c r="H9" i="1"/>
  <c r="AA10" i="1"/>
  <c r="AG10" i="1" s="1"/>
  <c r="Z15" i="1"/>
  <c r="Z16" i="1"/>
  <c r="AA21" i="1"/>
  <c r="AG21" i="1" s="1"/>
  <c r="Z25" i="1"/>
  <c r="AA27" i="1"/>
  <c r="AG27" i="1" s="1"/>
  <c r="Z14" i="1"/>
  <c r="Z22" i="1"/>
  <c r="K8" i="1"/>
  <c r="AA14" i="1"/>
  <c r="AG14" i="1" s="1"/>
  <c r="N36" i="1"/>
  <c r="Z12" i="1"/>
  <c r="N37" i="1"/>
  <c r="Z10" i="1"/>
  <c r="Z6" i="1"/>
  <c r="H22" i="1"/>
  <c r="Z28" i="1"/>
  <c r="E32" i="1"/>
  <c r="Z7" i="1"/>
  <c r="M9" i="1"/>
  <c r="Z13" i="1"/>
  <c r="Z24" i="1"/>
  <c r="Z26" i="1"/>
  <c r="Z30" i="1" l="1"/>
  <c r="G34" i="1"/>
  <c r="N39" i="1"/>
  <c r="P39" i="1" s="1"/>
  <c r="K11" i="1"/>
  <c r="L12" i="1"/>
  <c r="H11" i="1"/>
  <c r="H12" i="1" s="1"/>
  <c r="H10" i="1"/>
  <c r="K12" i="1" l="1"/>
  <c r="L22" i="1"/>
  <c r="K22" i="1" l="1"/>
  <c r="L23" i="1"/>
  <c r="L24" i="1" l="1"/>
  <c r="K24" i="1" s="1"/>
  <c r="K23" i="1"/>
  <c r="K29" i="1" l="1"/>
  <c r="D36" i="1" s="1"/>
  <c r="E30" i="1"/>
</calcChain>
</file>

<file path=xl/sharedStrings.xml><?xml version="1.0" encoding="utf-8"?>
<sst xmlns="http://schemas.openxmlformats.org/spreadsheetml/2006/main" count="130" uniqueCount="98">
  <si>
    <t>LAPORAN HARIAN PRODUKSI TELUR</t>
  </si>
  <si>
    <t>YUKI FARM</t>
  </si>
  <si>
    <t>HARI/TANGGAL : KAMIS, 3 SEPTEMBER 2026 (3 ALUR)</t>
  </si>
  <si>
    <t>KANDANG</t>
  </si>
  <si>
    <t>Kapasitas</t>
  </si>
  <si>
    <t>JUMLAH AYAM</t>
  </si>
  <si>
    <t>UMUR</t>
  </si>
  <si>
    <t xml:space="preserve">    </t>
  </si>
  <si>
    <t>Berat badan</t>
  </si>
  <si>
    <t>PRODUKSI TELUR</t>
  </si>
  <si>
    <t>PERLAKUAN</t>
  </si>
  <si>
    <t>Hidup</t>
  </si>
  <si>
    <t>mati</t>
  </si>
  <si>
    <t>AFKIR</t>
  </si>
  <si>
    <t>pindah</t>
  </si>
  <si>
    <t>MASUK</t>
  </si>
  <si>
    <t>Mgg</t>
  </si>
  <si>
    <t>Bln</t>
  </si>
  <si>
    <t>Jenis</t>
  </si>
  <si>
    <t>Ttl/Kd(kg)ekr/gr</t>
  </si>
  <si>
    <t>Ekor/Gr</t>
  </si>
  <si>
    <t>Stdr/Ekor(Gr)</t>
  </si>
  <si>
    <t>Stdr/Gr</t>
  </si>
  <si>
    <t>Pagi</t>
  </si>
  <si>
    <t>Sore</t>
  </si>
  <si>
    <t>Butir</t>
  </si>
  <si>
    <t>Retak</t>
  </si>
  <si>
    <t>putih</t>
  </si>
  <si>
    <t>kotor/ putih</t>
  </si>
  <si>
    <t>K</t>
  </si>
  <si>
    <t>R</t>
  </si>
  <si>
    <t>L</t>
  </si>
  <si>
    <t>TOTAL</t>
  </si>
  <si>
    <t>Ket</t>
  </si>
  <si>
    <t>ACT%</t>
  </si>
  <si>
    <t>STDR</t>
  </si>
  <si>
    <t>OBAT/ VAKSIN</t>
  </si>
  <si>
    <t>1. KAWAT (INDRA YUHADI)</t>
  </si>
  <si>
    <t xml:space="preserve">LAYER </t>
  </si>
  <si>
    <t>OTRALEC</t>
  </si>
  <si>
    <t>KAMIS</t>
  </si>
  <si>
    <t>2. KAWAT (SANDI PRAYUGA)</t>
  </si>
  <si>
    <t>3. KAWAT (IYAL)</t>
  </si>
  <si>
    <t>4. KAWAT (SARIDIN HARAHAP)</t>
  </si>
  <si>
    <t>5.  KAWAT (AHMAT ABDULLAH)</t>
  </si>
  <si>
    <t>6. KAWAT (ABDUL ABI MUTHOLIB)</t>
  </si>
  <si>
    <t>7. KAYU (ADI SAPUTRA)</t>
  </si>
  <si>
    <t>8. KAYU (PITO HERMAN)</t>
  </si>
  <si>
    <t>9. KAYU (PITO HERMAN)</t>
  </si>
  <si>
    <t xml:space="preserve">SPESIAL </t>
  </si>
  <si>
    <t>SENIN</t>
  </si>
  <si>
    <t>10. KAYU (IRFANSYAH)</t>
  </si>
  <si>
    <t>11. KAYU (PITO HERMAN)</t>
  </si>
  <si>
    <r>
      <t xml:space="preserve">12. KAYU (AFRIZAL) </t>
    </r>
    <r>
      <rPr>
        <b/>
        <sz val="20"/>
        <color rgb="FF0070C0"/>
        <rFont val="Times New Roman"/>
        <family val="1"/>
      </rPr>
      <t>NOVOGEN</t>
    </r>
  </si>
  <si>
    <t xml:space="preserve">SPESIAL 2 </t>
  </si>
  <si>
    <t>121-129</t>
  </si>
  <si>
    <r>
      <t xml:space="preserve">13. KAYU (AFRIZAL) </t>
    </r>
    <r>
      <rPr>
        <b/>
        <sz val="20"/>
        <color rgb="FF0070C0"/>
        <rFont val="Times New Roman"/>
        <family val="1"/>
      </rPr>
      <t>NOVOGEN</t>
    </r>
  </si>
  <si>
    <r>
      <t xml:space="preserve">14. KAYU (AFRIZAL)  </t>
    </r>
    <r>
      <rPr>
        <b/>
        <sz val="20"/>
        <color rgb="FF0070C0"/>
        <rFont val="Times New Roman"/>
        <family val="1"/>
      </rPr>
      <t>NOVOGEN</t>
    </r>
  </si>
  <si>
    <r>
      <t xml:space="preserve">15. KAYU (AFRIZAL) </t>
    </r>
    <r>
      <rPr>
        <b/>
        <sz val="20"/>
        <color rgb="FF0070C0"/>
        <rFont val="Times New Roman"/>
        <family val="1"/>
      </rPr>
      <t>NOVOGEN</t>
    </r>
  </si>
  <si>
    <r>
      <t xml:space="preserve">16. KAYU (IYAL) </t>
    </r>
    <r>
      <rPr>
        <b/>
        <sz val="20"/>
        <color rgb="FF0070C0"/>
        <rFont val="Times New Roman"/>
        <family val="1"/>
      </rPr>
      <t>NOVOGEN</t>
    </r>
  </si>
  <si>
    <t>17. KAYU (ILLIYA KASIM)</t>
  </si>
  <si>
    <t>18. KAYU (ILLIYA KASIM)</t>
  </si>
  <si>
    <t>19. KAYU (ILLIYA KASIM)</t>
  </si>
  <si>
    <t xml:space="preserve">                             </t>
  </si>
  <si>
    <t>Total Makanan</t>
  </si>
  <si>
    <t>Total ayam full</t>
  </si>
  <si>
    <t>Total ayam</t>
  </si>
  <si>
    <t>Persen global(Ayam Keseluruhan)</t>
  </si>
  <si>
    <t>persen global(Ayam Produksi &gt; 50%)</t>
  </si>
  <si>
    <t xml:space="preserve">        </t>
  </si>
  <si>
    <t xml:space="preserve">      </t>
  </si>
  <si>
    <t>Total Makanan ;</t>
  </si>
  <si>
    <t>Jumlah Ayam Induk(Umur &gt;15 bulan) :</t>
  </si>
  <si>
    <t>spesial 1</t>
  </si>
  <si>
    <t>Jumlah Ayam gadis(Umur  5-15 bulan) :</t>
  </si>
  <si>
    <t xml:space="preserve"> </t>
  </si>
  <si>
    <t xml:space="preserve">  </t>
  </si>
  <si>
    <t>spesial 2</t>
  </si>
  <si>
    <t>Jumlah Ayam ANAK (Umur &lt;15 bulan) :</t>
  </si>
  <si>
    <t>GROWER</t>
  </si>
  <si>
    <t>Jumlah Ayam Keseluruhan :</t>
  </si>
  <si>
    <t>PENGAWAS</t>
  </si>
  <si>
    <t>INDUK</t>
  </si>
  <si>
    <t>Jumlah Ayam bertelur &gt;50% :</t>
  </si>
  <si>
    <t>Telur Ayam Induk :</t>
  </si>
  <si>
    <t>TURUN</t>
  </si>
  <si>
    <t>Dari kemarin</t>
  </si>
  <si>
    <t>Telur Ayam ANAK :</t>
  </si>
  <si>
    <t>NAIK</t>
  </si>
  <si>
    <t>Telur Ayam GADIS :</t>
  </si>
  <si>
    <t>Produksi global :</t>
  </si>
  <si>
    <t xml:space="preserve">           </t>
  </si>
  <si>
    <t>Total Ayam Mati  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</si>
  <si>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</si>
  <si>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Ayam ND :</t>
  </si>
  <si>
    <t>Ayam Afkir :</t>
  </si>
  <si>
    <t>NOTE : TURUN KARENA AYAM AFKIR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</si>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</sst>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"/>
    <numFmt numFmtId="165" formatCode="0.0"/>
    <numFmt numFmtId="166" formatCode="_(* #,##0.00_);_(* \(#,##0.00\);_(* &quot;-&quot;_);_(@_)"/>
    <numFmt numFmtId="167" formatCode="_(* #,##0.0_);_(* \(#,##0.0\);_(* &quot;-&quot;?_);_(@_)"/>
    <numFmt numFmtId="168" formatCode="_(* #,##0_);_(* \(#,##0\);_(* &quot;-&quot;_);_(@_)"/>
    <numFmt numFmtId="169" formatCode="_-&quot;Rp&quot;* #,##0_-;\-&quot;Rp&quot;* #,##0_-;_-&quot;Rp&quot;* &quot;-&quot;_-;_-@"/>
  </numFmts>
  <fonts count="2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20"/>
      <color rgb="FF254061"/>
      <name val="Times New Roman"/>
      <family val="1"/>
    </font>
    <font>
      <sz val="20"/>
      <color theme="1"/>
      <name val="Calibri"/>
      <family val="2"/>
      <scheme val="minor"/>
    </font>
    <font>
      <sz val="16"/>
      <color rgb="FF000000"/>
      <name val="Calibri"/>
      <family val="2"/>
    </font>
    <font>
      <sz val="20"/>
      <color rgb="FF254061"/>
      <name val="Times New Roman"/>
      <family val="1"/>
    </font>
    <font>
      <b/>
      <i/>
      <sz val="20"/>
      <color rgb="FF254061"/>
      <name val="Aharoni"/>
      <charset val="177"/>
    </font>
    <font>
      <b/>
      <sz val="20"/>
      <color rgb="FF254061"/>
      <name val="Aharoni"/>
      <charset val="177"/>
    </font>
    <font>
      <sz val="20"/>
      <color rgb="FF254061"/>
      <name val="Aharoni"/>
      <charset val="177"/>
    </font>
    <font>
      <b/>
      <sz val="20"/>
      <color rgb="FF254061"/>
      <name val="Times New Roman"/>
      <family val="1"/>
    </font>
    <font>
      <b/>
      <sz val="20"/>
      <color rgb="FF254061"/>
      <name val="Calibri"/>
      <family val="2"/>
    </font>
    <font>
      <b/>
      <sz val="20"/>
      <name val="Times New Roman"/>
      <family val="1"/>
    </font>
    <font>
      <b/>
      <sz val="18"/>
      <color rgb="FF254061"/>
      <name val="Times New Roman"/>
      <family val="1"/>
    </font>
    <font>
      <sz val="18"/>
      <color rgb="FF000000"/>
      <name val="Calibri"/>
      <family val="2"/>
    </font>
    <font>
      <sz val="20"/>
      <color rgb="FF000000"/>
      <name val="Calibri"/>
      <family val="2"/>
    </font>
    <font>
      <b/>
      <sz val="20"/>
      <color rgb="FF000000"/>
      <name val="Times New Roman"/>
      <family val="1"/>
    </font>
    <font>
      <b/>
      <sz val="20"/>
      <color rgb="FF0070C0"/>
      <name val="Times New Roman"/>
      <family val="1"/>
    </font>
    <font>
      <b/>
      <sz val="16"/>
      <color rgb="FF254061"/>
      <name val="Times New Roman"/>
      <family val="1"/>
    </font>
    <font>
      <sz val="20"/>
      <color rgb="FF254061"/>
      <name val="Calibri"/>
      <family val="2"/>
    </font>
    <font>
      <sz val="20"/>
      <color rgb="FF254061"/>
      <name val="Arial Black"/>
      <family val="2"/>
    </font>
    <font>
      <b/>
      <sz val="20"/>
      <color rgb="FFFFFFFF"/>
      <name val="Times New Roman"/>
      <family val="1"/>
    </font>
    <font>
      <b/>
      <sz val="20"/>
      <color theme="3" tint="-0.249977111117893"/>
      <name val="Times New Roman"/>
      <family val="1"/>
    </font>
    <font>
      <b/>
      <sz val="36"/>
      <name val="Calibri"/>
      <family val="2"/>
    </font>
    <font>
      <sz val="2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rgb="FF92D050"/>
      </patternFill>
    </fill>
    <fill>
      <patternFill patternType="solid">
        <fgColor rgb="FFB9CCE4"/>
        <bgColor rgb="FFB9CCE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DA9694"/>
        <bgColor rgb="FFFFFF00"/>
      </patternFill>
    </fill>
    <fill>
      <patternFill patternType="solid">
        <fgColor rgb="FFD99694"/>
        <bgColor rgb="FFD99694"/>
      </patternFill>
    </fill>
    <fill>
      <patternFill patternType="solid">
        <fgColor rgb="FFDA9694"/>
        <bgColor rgb="FFD99694"/>
      </patternFill>
    </fill>
    <fill>
      <patternFill patternType="solid">
        <fgColor rgb="FFFFFF00"/>
        <bgColor rgb="FFFFFFFF"/>
      </patternFill>
    </fill>
    <fill>
      <patternFill patternType="solid">
        <fgColor rgb="FFE6B9B8"/>
        <bgColor rgb="FFE6B9B8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D99694"/>
      </patternFill>
    </fill>
    <fill>
      <patternFill patternType="solid">
        <fgColor rgb="FFFCD5B4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9"/>
        <bgColor rgb="FF92D05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92D050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008000"/>
        <bgColor rgb="FF008000"/>
      </patternFill>
    </fill>
    <fill>
      <patternFill patternType="solid">
        <fgColor rgb="FFFABF8F"/>
        <bgColor rgb="FFFFFF00"/>
      </patternFill>
    </fill>
    <fill>
      <patternFill patternType="solid">
        <fgColor rgb="FFFABF8F"/>
        <bgColor indexed="64"/>
      </patternFill>
    </fill>
    <fill>
      <patternFill patternType="solid">
        <fgColor rgb="FFFABF8F"/>
        <bgColor rgb="FF008000"/>
      </patternFill>
    </fill>
    <fill>
      <patternFill patternType="solid">
        <fgColor rgb="FF00CCFF"/>
        <bgColor rgb="FF00CCFF"/>
      </patternFill>
    </fill>
    <fill>
      <patternFill patternType="solid">
        <fgColor theme="5" tint="0.59999389629810485"/>
        <b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8000"/>
      </patternFill>
    </fill>
    <fill>
      <patternFill patternType="solid">
        <fgColor rgb="FFE36B09"/>
        <bgColor rgb="FFE36B09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993300"/>
      </bottom>
      <diagonal/>
    </border>
    <border>
      <left style="medium">
        <color rgb="FF993300"/>
      </left>
      <right style="medium">
        <color rgb="FF993300"/>
      </right>
      <top style="medium">
        <color rgb="FF993300"/>
      </top>
      <bottom/>
      <diagonal/>
    </border>
    <border>
      <left style="medium">
        <color rgb="FF993300"/>
      </left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 style="medium">
        <color rgb="FF993300"/>
      </left>
      <right/>
      <top style="medium">
        <color rgb="FF993300"/>
      </top>
      <bottom style="medium">
        <color rgb="FF993300"/>
      </bottom>
      <diagonal/>
    </border>
    <border>
      <left/>
      <right/>
      <top style="medium">
        <color rgb="FF993300"/>
      </top>
      <bottom style="medium">
        <color rgb="FF993300"/>
      </bottom>
      <diagonal/>
    </border>
    <border>
      <left/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 style="medium">
        <color rgb="FF993300"/>
      </left>
      <right style="medium">
        <color rgb="FF993300"/>
      </right>
      <top/>
      <bottom style="medium">
        <color rgb="FF993300"/>
      </bottom>
      <diagonal/>
    </border>
    <border>
      <left style="medium">
        <color rgb="FF993300"/>
      </left>
      <right/>
      <top/>
      <bottom style="medium">
        <color rgb="FF993300"/>
      </bottom>
      <diagonal/>
    </border>
    <border>
      <left style="thin">
        <color rgb="FF000000"/>
      </left>
      <right style="medium">
        <color rgb="FF993300"/>
      </right>
      <top style="medium">
        <color rgb="FF993300"/>
      </top>
      <bottom/>
      <diagonal/>
    </border>
    <border>
      <left style="medium">
        <color rgb="FF963734"/>
      </left>
      <right style="medium">
        <color rgb="FF963734"/>
      </right>
      <top style="medium">
        <color rgb="FF963734"/>
      </top>
      <bottom style="medium">
        <color rgb="FF963734"/>
      </bottom>
      <diagonal/>
    </border>
    <border>
      <left style="thin">
        <color rgb="FF000000"/>
      </left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 style="medium">
        <color rgb="FF993300"/>
      </left>
      <right style="thin">
        <color rgb="FF000000"/>
      </right>
      <top style="medium">
        <color rgb="FF993300"/>
      </top>
      <bottom style="medium">
        <color rgb="FF993300"/>
      </bottom>
      <diagonal/>
    </border>
    <border>
      <left style="thin">
        <color rgb="FF000000"/>
      </left>
      <right style="medium">
        <color rgb="FF993300"/>
      </right>
      <top/>
      <bottom style="medium">
        <color rgb="FF993300"/>
      </bottom>
      <diagonal/>
    </border>
  </borders>
  <cellStyleXfs count="2">
    <xf numFmtId="0" fontId="0" fillId="0" borderId="0"/>
    <xf numFmtId="0" fontId="1" fillId="0" borderId="0">
      <protection locked="0"/>
    </xf>
  </cellStyleXfs>
  <cellXfs count="165">
    <xf numFmtId="0" fontId="0" fillId="0" borderId="0" xfId="0"/>
    <xf numFmtId="0" fontId="2" fillId="2" borderId="0" xfId="1" applyFont="1" applyFill="1" applyAlignment="1" applyProtection="1">
      <alignment horizontal="center" vertical="center"/>
    </xf>
    <xf numFmtId="0" fontId="3" fillId="0" borderId="0" xfId="1" applyFont="1" applyAlignment="1" applyProtection="1">
      <alignment vertical="center"/>
    </xf>
    <xf numFmtId="0" fontId="0" fillId="0" borderId="0" xfId="1" applyFont="1" applyAlignment="1" applyProtection="1">
      <alignment vertical="center"/>
    </xf>
    <xf numFmtId="0" fontId="4" fillId="3" borderId="0" xfId="1" applyFont="1" applyFill="1" applyAlignment="1" applyProtection="1">
      <alignment vertical="center"/>
    </xf>
    <xf numFmtId="0" fontId="1" fillId="0" borderId="0" xfId="1" applyAlignment="1" applyProtection="1">
      <alignment vertical="center"/>
    </xf>
    <xf numFmtId="0" fontId="2" fillId="0" borderId="0" xfId="1" applyFont="1" applyAlignment="1" applyProtection="1">
      <alignment horizontal="center"/>
    </xf>
    <xf numFmtId="0" fontId="2" fillId="0" borderId="1" xfId="1" applyFont="1" applyBorder="1" applyAlignment="1" applyProtection="1">
      <alignment horizontal="left"/>
    </xf>
    <xf numFmtId="0" fontId="3" fillId="0" borderId="1" xfId="1" applyFont="1" applyBorder="1" applyAlignment="1" applyProtection="1">
      <alignment vertical="center"/>
    </xf>
    <xf numFmtId="0" fontId="5" fillId="0" borderId="0" xfId="1" applyFont="1" applyProtection="1"/>
    <xf numFmtId="0" fontId="5" fillId="0" borderId="0" xfId="1" applyFont="1" applyAlignment="1" applyProtection="1">
      <alignment horizontal="center"/>
    </xf>
    <xf numFmtId="0" fontId="2" fillId="0" borderId="2" xfId="1" applyFont="1" applyBorder="1" applyAlignment="1" applyProtection="1">
      <alignment horizontal="center" vertical="center"/>
    </xf>
    <xf numFmtId="0" fontId="6" fillId="0" borderId="3" xfId="1" applyFont="1" applyBorder="1" applyAlignment="1" applyProtection="1">
      <alignment horizontal="center" vertical="center"/>
    </xf>
    <xf numFmtId="0" fontId="7" fillId="0" borderId="4" xfId="1" applyFont="1" applyBorder="1" applyAlignment="1" applyProtection="1">
      <alignment horizontal="center" vertical="center"/>
    </xf>
    <xf numFmtId="0" fontId="3" fillId="0" borderId="5" xfId="1" applyFont="1" applyBorder="1" applyAlignment="1" applyProtection="1">
      <alignment vertical="center"/>
    </xf>
    <xf numFmtId="0" fontId="3" fillId="0" borderId="6" xfId="1" applyFont="1" applyBorder="1" applyAlignment="1" applyProtection="1">
      <alignment vertical="center"/>
    </xf>
    <xf numFmtId="0" fontId="8" fillId="0" borderId="4" xfId="1" applyFont="1" applyBorder="1" applyAlignment="1" applyProtection="1">
      <alignment horizontal="center" vertical="center"/>
    </xf>
    <xf numFmtId="0" fontId="3" fillId="0" borderId="7" xfId="1" applyFont="1" applyBorder="1" applyAlignment="1" applyProtection="1">
      <alignment vertical="center"/>
    </xf>
    <xf numFmtId="0" fontId="7" fillId="0" borderId="3" xfId="1" applyFont="1" applyBorder="1" applyAlignment="1" applyProtection="1">
      <alignment horizontal="center" vertical="center"/>
    </xf>
    <xf numFmtId="0" fontId="6" fillId="0" borderId="3" xfId="1" applyFont="1" applyBorder="1" applyAlignment="1" applyProtection="1">
      <alignment horizontal="center" vertical="center" wrapText="1"/>
    </xf>
    <xf numFmtId="0" fontId="6" fillId="0" borderId="3" xfId="1" applyFont="1" applyBorder="1" applyAlignment="1" applyProtection="1">
      <alignment vertical="center" wrapText="1"/>
    </xf>
    <xf numFmtId="0" fontId="7" fillId="0" borderId="3" xfId="1" applyFont="1" applyBorder="1" applyAlignment="1" applyProtection="1">
      <alignment horizontal="center" vertical="center" wrapText="1"/>
    </xf>
    <xf numFmtId="0" fontId="6" fillId="0" borderId="4" xfId="1" applyFont="1" applyBorder="1" applyAlignment="1" applyProtection="1">
      <alignment horizontal="center" vertical="center" wrapText="1"/>
    </xf>
    <xf numFmtId="0" fontId="9" fillId="0" borderId="8" xfId="1" applyFont="1" applyBorder="1" applyAlignment="1" applyProtection="1">
      <alignment horizontal="center" vertical="center" wrapText="1"/>
    </xf>
    <xf numFmtId="1" fontId="10" fillId="0" borderId="9" xfId="1" applyNumberFormat="1" applyFont="1" applyBorder="1" applyAlignment="1" applyProtection="1">
      <alignment horizontal="center" vertical="center"/>
    </xf>
    <xf numFmtId="1" fontId="10" fillId="0" borderId="6" xfId="1" applyNumberFormat="1" applyFont="1" applyBorder="1" applyAlignment="1" applyProtection="1">
      <alignment horizontal="center" vertical="center"/>
    </xf>
    <xf numFmtId="1" fontId="9" fillId="0" borderId="3" xfId="1" applyNumberFormat="1" applyFont="1" applyBorder="1" applyAlignment="1" applyProtection="1">
      <alignment horizontal="center" vertical="center" wrapText="1"/>
    </xf>
    <xf numFmtId="0" fontId="9" fillId="0" borderId="3" xfId="1" applyFont="1" applyBorder="1" applyAlignment="1" applyProtection="1">
      <alignment horizontal="center" vertical="center" wrapText="1"/>
    </xf>
    <xf numFmtId="14" fontId="9" fillId="0" borderId="3" xfId="1" applyNumberFormat="1" applyFont="1" applyBorder="1" applyAlignment="1" applyProtection="1">
      <alignment horizontal="center" vertical="center"/>
    </xf>
    <xf numFmtId="0" fontId="9" fillId="0" borderId="3" xfId="1" applyFont="1" applyBorder="1" applyAlignment="1" applyProtection="1">
      <alignment horizontal="center" vertical="center"/>
    </xf>
    <xf numFmtId="0" fontId="9" fillId="0" borderId="10" xfId="1" applyFont="1" applyBorder="1" applyAlignment="1" applyProtection="1">
      <alignment horizontal="center" vertical="center"/>
    </xf>
    <xf numFmtId="1" fontId="9" fillId="0" borderId="3" xfId="1" applyNumberFormat="1" applyFont="1" applyBorder="1" applyAlignment="1" applyProtection="1">
      <alignment horizontal="center" vertical="center"/>
    </xf>
    <xf numFmtId="2" fontId="11" fillId="4" borderId="3" xfId="1" applyNumberFormat="1" applyFont="1" applyFill="1" applyBorder="1" applyAlignment="1" applyProtection="1">
      <alignment horizontal="center" vertical="center"/>
    </xf>
    <xf numFmtId="2" fontId="9" fillId="0" borderId="3" xfId="1" applyNumberFormat="1" applyFont="1" applyBorder="1" applyAlignment="1" applyProtection="1">
      <alignment horizontal="center" vertical="center"/>
    </xf>
    <xf numFmtId="0" fontId="12" fillId="0" borderId="4" xfId="1" applyFont="1" applyBorder="1" applyAlignment="1" applyProtection="1">
      <alignment horizontal="center" vertical="center" wrapText="1"/>
    </xf>
    <xf numFmtId="0" fontId="12" fillId="0" borderId="6" xfId="1" applyFont="1" applyBorder="1" applyAlignment="1" applyProtection="1">
      <alignment horizontal="center" vertical="center" wrapText="1"/>
    </xf>
    <xf numFmtId="0" fontId="13" fillId="5" borderId="0" xfId="1" applyFont="1" applyFill="1" applyAlignment="1" applyProtection="1">
      <alignment vertical="center"/>
    </xf>
    <xf numFmtId="2" fontId="14" fillId="6" borderId="0" xfId="1" applyNumberFormat="1" applyFont="1" applyFill="1" applyProtection="1"/>
    <xf numFmtId="1" fontId="10" fillId="0" borderId="11" xfId="1" applyNumberFormat="1" applyFont="1" applyBorder="1" applyAlignment="1" applyProtection="1">
      <alignment horizontal="center" vertical="center"/>
    </xf>
    <xf numFmtId="2" fontId="11" fillId="3" borderId="3" xfId="1" applyNumberFormat="1" applyFont="1" applyFill="1" applyBorder="1" applyAlignment="1" applyProtection="1">
      <alignment horizontal="center" vertical="center"/>
    </xf>
    <xf numFmtId="0" fontId="0" fillId="7" borderId="0" xfId="1" applyFont="1" applyFill="1" applyAlignment="1" applyProtection="1">
      <alignment vertical="center"/>
    </xf>
    <xf numFmtId="2" fontId="11" fillId="8" borderId="3" xfId="1" applyNumberFormat="1" applyFont="1" applyFill="1" applyBorder="1" applyAlignment="1" applyProtection="1">
      <alignment horizontal="center" vertical="center"/>
    </xf>
    <xf numFmtId="0" fontId="9" fillId="0" borderId="12" xfId="1" applyFont="1" applyBorder="1" applyAlignment="1" applyProtection="1">
      <alignment horizontal="center" vertical="center" wrapText="1"/>
    </xf>
    <xf numFmtId="0" fontId="9" fillId="0" borderId="4" xfId="1" applyFont="1" applyBorder="1" applyAlignment="1" applyProtection="1">
      <alignment horizontal="center" vertical="center" wrapText="1"/>
    </xf>
    <xf numFmtId="2" fontId="11" fillId="9" borderId="3" xfId="1" applyNumberFormat="1" applyFont="1" applyFill="1" applyBorder="1" applyAlignment="1" applyProtection="1">
      <alignment horizontal="center" vertical="center"/>
    </xf>
    <xf numFmtId="0" fontId="9" fillId="2" borderId="4" xfId="1" applyFont="1" applyFill="1" applyBorder="1" applyAlignment="1" applyProtection="1">
      <alignment horizontal="center" vertical="center" wrapText="1"/>
    </xf>
    <xf numFmtId="14" fontId="9" fillId="10" borderId="6" xfId="1" applyNumberFormat="1" applyFont="1" applyFill="1" applyBorder="1" applyAlignment="1" applyProtection="1">
      <alignment horizontal="center" vertical="center"/>
    </xf>
    <xf numFmtId="0" fontId="9" fillId="2" borderId="3" xfId="1" applyFont="1" applyFill="1" applyBorder="1" applyAlignment="1" applyProtection="1">
      <alignment horizontal="center" vertical="center"/>
    </xf>
    <xf numFmtId="0" fontId="9" fillId="11" borderId="10" xfId="1" applyFont="1" applyFill="1" applyBorder="1" applyAlignment="1" applyProtection="1">
      <alignment horizontal="center" vertical="center"/>
    </xf>
    <xf numFmtId="1" fontId="9" fillId="12" borderId="3" xfId="1" applyNumberFormat="1" applyFont="1" applyFill="1" applyBorder="1" applyAlignment="1" applyProtection="1">
      <alignment horizontal="center" vertical="center"/>
    </xf>
    <xf numFmtId="1" fontId="9" fillId="2" borderId="3" xfId="1" applyNumberFormat="1" applyFont="1" applyFill="1" applyBorder="1" applyAlignment="1" applyProtection="1">
      <alignment horizontal="center" vertical="center"/>
    </xf>
    <xf numFmtId="2" fontId="15" fillId="13" borderId="3" xfId="1" applyNumberFormat="1" applyFont="1" applyFill="1" applyBorder="1" applyAlignment="1" applyProtection="1">
      <alignment horizontal="center" vertical="center"/>
    </xf>
    <xf numFmtId="0" fontId="13" fillId="14" borderId="0" xfId="1" applyFont="1" applyFill="1" applyAlignment="1" applyProtection="1">
      <alignment vertical="center"/>
    </xf>
    <xf numFmtId="0" fontId="9" fillId="15" borderId="4" xfId="1" applyFont="1" applyFill="1" applyBorder="1" applyAlignment="1" applyProtection="1">
      <alignment horizontal="center" vertical="center" wrapText="1"/>
    </xf>
    <xf numFmtId="1" fontId="10" fillId="16" borderId="11" xfId="1" applyNumberFormat="1" applyFont="1" applyFill="1" applyBorder="1" applyAlignment="1" applyProtection="1">
      <alignment horizontal="center" vertical="center"/>
    </xf>
    <xf numFmtId="1" fontId="10" fillId="16" borderId="6" xfId="1" applyNumberFormat="1" applyFont="1" applyFill="1" applyBorder="1" applyAlignment="1" applyProtection="1">
      <alignment horizontal="center" vertical="center"/>
    </xf>
    <xf numFmtId="0" fontId="9" fillId="16" borderId="3" xfId="1" applyFont="1" applyFill="1" applyBorder="1" applyAlignment="1" applyProtection="1">
      <alignment horizontal="center" vertical="center" wrapText="1"/>
    </xf>
    <xf numFmtId="14" fontId="9" fillId="17" borderId="6" xfId="1" applyNumberFormat="1" applyFont="1" applyFill="1" applyBorder="1" applyAlignment="1" applyProtection="1">
      <alignment horizontal="center" vertical="center"/>
    </xf>
    <xf numFmtId="0" fontId="9" fillId="15" borderId="3" xfId="1" applyFont="1" applyFill="1" applyBorder="1" applyAlignment="1" applyProtection="1">
      <alignment horizontal="center" vertical="center"/>
    </xf>
    <xf numFmtId="0" fontId="9" fillId="18" borderId="10" xfId="1" applyFont="1" applyFill="1" applyBorder="1" applyAlignment="1" applyProtection="1">
      <alignment horizontal="center" vertical="center"/>
    </xf>
    <xf numFmtId="1" fontId="9" fillId="18" borderId="3" xfId="1" applyNumberFormat="1" applyFont="1" applyFill="1" applyBorder="1" applyAlignment="1" applyProtection="1">
      <alignment horizontal="center" vertical="center"/>
    </xf>
    <xf numFmtId="1" fontId="9" fillId="15" borderId="3" xfId="1" applyNumberFormat="1" applyFont="1" applyFill="1" applyBorder="1" applyAlignment="1" applyProtection="1">
      <alignment horizontal="center" vertical="center"/>
    </xf>
    <xf numFmtId="1" fontId="9" fillId="16" borderId="3" xfId="1" applyNumberFormat="1" applyFont="1" applyFill="1" applyBorder="1" applyAlignment="1" applyProtection="1">
      <alignment horizontal="center" vertical="center"/>
    </xf>
    <xf numFmtId="2" fontId="15" fillId="15" borderId="3" xfId="1" applyNumberFormat="1" applyFont="1" applyFill="1" applyBorder="1" applyAlignment="1" applyProtection="1">
      <alignment horizontal="center" vertical="center"/>
    </xf>
    <xf numFmtId="2" fontId="9" fillId="16" borderId="3" xfId="1" applyNumberFormat="1" applyFont="1" applyFill="1" applyBorder="1" applyAlignment="1" applyProtection="1">
      <alignment horizontal="center" vertical="center"/>
    </xf>
    <xf numFmtId="0" fontId="12" fillId="16" borderId="4" xfId="1" applyFont="1" applyFill="1" applyBorder="1" applyAlignment="1" applyProtection="1">
      <alignment horizontal="center" vertical="center" wrapText="1"/>
    </xf>
    <xf numFmtId="0" fontId="12" fillId="16" borderId="6" xfId="1" applyFont="1" applyFill="1" applyBorder="1" applyAlignment="1" applyProtection="1">
      <alignment horizontal="center" vertical="center" wrapText="1"/>
    </xf>
    <xf numFmtId="14" fontId="9" fillId="19" borderId="3" xfId="1" applyNumberFormat="1" applyFont="1" applyFill="1" applyBorder="1" applyAlignment="1" applyProtection="1">
      <alignment horizontal="center" vertical="center"/>
    </xf>
    <xf numFmtId="0" fontId="9" fillId="19" borderId="10" xfId="1" applyFont="1" applyFill="1" applyBorder="1" applyAlignment="1" applyProtection="1">
      <alignment horizontal="center" vertical="center"/>
    </xf>
    <xf numFmtId="1" fontId="9" fillId="19" borderId="3" xfId="1" applyNumberFormat="1" applyFont="1" applyFill="1" applyBorder="1" applyAlignment="1" applyProtection="1">
      <alignment horizontal="center" vertical="center"/>
    </xf>
    <xf numFmtId="2" fontId="15" fillId="20" borderId="3" xfId="1" applyNumberFormat="1" applyFont="1" applyFill="1" applyBorder="1" applyAlignment="1" applyProtection="1">
      <alignment horizontal="center" vertical="center"/>
    </xf>
    <xf numFmtId="0" fontId="13" fillId="3" borderId="0" xfId="1" applyFont="1" applyFill="1" applyAlignment="1" applyProtection="1">
      <alignment vertical="center"/>
    </xf>
    <xf numFmtId="2" fontId="11" fillId="21" borderId="3" xfId="1" applyNumberFormat="1" applyFont="1" applyFill="1" applyBorder="1" applyAlignment="1" applyProtection="1">
      <alignment horizontal="center" vertical="center"/>
    </xf>
    <xf numFmtId="1" fontId="10" fillId="0" borderId="13" xfId="1" applyNumberFormat="1" applyFont="1" applyBorder="1" applyAlignment="1" applyProtection="1">
      <alignment horizontal="center" vertical="center"/>
    </xf>
    <xf numFmtId="0" fontId="9" fillId="22" borderId="4" xfId="1" applyFont="1" applyFill="1" applyBorder="1" applyAlignment="1" applyProtection="1">
      <alignment horizontal="center" vertical="center" wrapText="1"/>
    </xf>
    <xf numFmtId="1" fontId="10" fillId="22" borderId="13" xfId="1" applyNumberFormat="1" applyFont="1" applyFill="1" applyBorder="1" applyAlignment="1" applyProtection="1">
      <alignment horizontal="center" vertical="center"/>
    </xf>
    <xf numFmtId="1" fontId="10" fillId="22" borderId="6" xfId="1" applyNumberFormat="1" applyFont="1" applyFill="1" applyBorder="1" applyAlignment="1" applyProtection="1">
      <alignment horizontal="center" vertical="center"/>
    </xf>
    <xf numFmtId="0" fontId="17" fillId="22" borderId="3" xfId="1" applyFont="1" applyFill="1" applyBorder="1" applyAlignment="1" applyProtection="1">
      <alignment horizontal="center" vertical="center" wrapText="1"/>
    </xf>
    <xf numFmtId="0" fontId="9" fillId="22" borderId="3" xfId="1" applyFont="1" applyFill="1" applyBorder="1" applyAlignment="1" applyProtection="1">
      <alignment horizontal="center" vertical="center" wrapText="1"/>
    </xf>
    <xf numFmtId="14" fontId="9" fillId="22" borderId="3" xfId="1" applyNumberFormat="1" applyFont="1" applyFill="1" applyBorder="1" applyAlignment="1" applyProtection="1">
      <alignment horizontal="center" vertical="center"/>
    </xf>
    <xf numFmtId="0" fontId="9" fillId="22" borderId="3" xfId="1" applyFont="1" applyFill="1" applyBorder="1" applyAlignment="1" applyProtection="1">
      <alignment horizontal="center" vertical="center"/>
    </xf>
    <xf numFmtId="0" fontId="9" fillId="22" borderId="10" xfId="1" applyFont="1" applyFill="1" applyBorder="1" applyAlignment="1" applyProtection="1">
      <alignment horizontal="center" vertical="center"/>
    </xf>
    <xf numFmtId="1" fontId="9" fillId="22" borderId="3" xfId="1" applyNumberFormat="1" applyFont="1" applyFill="1" applyBorder="1" applyAlignment="1" applyProtection="1">
      <alignment horizontal="center" vertical="center"/>
    </xf>
    <xf numFmtId="2" fontId="11" fillId="23" borderId="3" xfId="1" applyNumberFormat="1" applyFont="1" applyFill="1" applyBorder="1" applyAlignment="1" applyProtection="1">
      <alignment horizontal="center" vertical="center"/>
    </xf>
    <xf numFmtId="2" fontId="9" fillId="22" borderId="3" xfId="1" applyNumberFormat="1" applyFont="1" applyFill="1" applyBorder="1" applyAlignment="1" applyProtection="1">
      <alignment horizontal="center" vertical="center"/>
    </xf>
    <xf numFmtId="0" fontId="9" fillId="22" borderId="4" xfId="1" applyFont="1" applyFill="1" applyBorder="1" applyAlignment="1" applyProtection="1">
      <alignment horizontal="center" vertical="center" wrapText="1"/>
    </xf>
    <xf numFmtId="0" fontId="9" fillId="22" borderId="6" xfId="1" applyFont="1" applyFill="1" applyBorder="1" applyAlignment="1" applyProtection="1">
      <alignment horizontal="center" vertical="center" wrapText="1"/>
    </xf>
    <xf numFmtId="0" fontId="0" fillId="22" borderId="0" xfId="1" applyFont="1" applyFill="1" applyAlignment="1" applyProtection="1">
      <alignment vertical="center"/>
    </xf>
    <xf numFmtId="0" fontId="13" fillId="23" borderId="0" xfId="1" applyFont="1" applyFill="1" applyAlignment="1" applyProtection="1">
      <alignment vertical="center"/>
    </xf>
    <xf numFmtId="0" fontId="9" fillId="0" borderId="4" xfId="1" applyFont="1" applyBorder="1" applyProtection="1"/>
    <xf numFmtId="0" fontId="9" fillId="0" borderId="5" xfId="1" applyFont="1" applyBorder="1" applyProtection="1"/>
    <xf numFmtId="164" fontId="5" fillId="0" borderId="3" xfId="1" applyNumberFormat="1" applyFont="1" applyBorder="1" applyAlignment="1" applyProtection="1">
      <alignment horizontal="center" vertical="center"/>
    </xf>
    <xf numFmtId="0" fontId="5" fillId="0" borderId="3" xfId="1" applyFont="1" applyBorder="1" applyAlignment="1" applyProtection="1">
      <alignment horizontal="center"/>
    </xf>
    <xf numFmtId="0" fontId="18" fillId="0" borderId="3" xfId="1" applyFont="1" applyBorder="1" applyAlignment="1" applyProtection="1">
      <alignment horizontal="center"/>
    </xf>
    <xf numFmtId="3" fontId="19" fillId="0" borderId="3" xfId="1" applyNumberFormat="1" applyFont="1" applyBorder="1" applyAlignment="1" applyProtection="1">
      <alignment horizontal="center" vertical="center"/>
    </xf>
    <xf numFmtId="2" fontId="9" fillId="2" borderId="3" xfId="1" applyNumberFormat="1" applyFont="1" applyFill="1" applyBorder="1" applyAlignment="1" applyProtection="1">
      <alignment horizontal="center" vertical="center"/>
    </xf>
    <xf numFmtId="0" fontId="9" fillId="0" borderId="4" xfId="1" applyFont="1" applyBorder="1" applyAlignment="1" applyProtection="1">
      <alignment horizontal="center" vertical="center" wrapText="1"/>
    </xf>
    <xf numFmtId="0" fontId="5" fillId="24" borderId="4" xfId="1" applyFont="1" applyFill="1" applyBorder="1" applyAlignment="1" applyProtection="1">
      <alignment horizontal="center"/>
    </xf>
    <xf numFmtId="1" fontId="9" fillId="0" borderId="4" xfId="1" applyNumberFormat="1" applyFont="1" applyBorder="1" applyAlignment="1" applyProtection="1">
      <alignment horizontal="center"/>
    </xf>
    <xf numFmtId="0" fontId="5" fillId="0" borderId="3" xfId="1" applyFont="1" applyBorder="1" applyProtection="1"/>
    <xf numFmtId="0" fontId="5" fillId="2" borderId="3" xfId="1" applyFont="1" applyFill="1" applyBorder="1" applyAlignment="1" applyProtection="1">
      <alignment horizontal="center"/>
    </xf>
    <xf numFmtId="3" fontId="5" fillId="0" borderId="3" xfId="1" applyNumberFormat="1" applyFont="1" applyBorder="1" applyProtection="1"/>
    <xf numFmtId="165" fontId="5" fillId="0" borderId="3" xfId="1" applyNumberFormat="1" applyFont="1" applyBorder="1" applyAlignment="1" applyProtection="1">
      <alignment horizontal="center"/>
    </xf>
    <xf numFmtId="2" fontId="5" fillId="0" borderId="3" xfId="1" applyNumberFormat="1" applyFont="1" applyBorder="1" applyProtection="1"/>
    <xf numFmtId="164" fontId="18" fillId="2" borderId="4" xfId="1" applyNumberFormat="1" applyFont="1" applyFill="1" applyBorder="1" applyAlignment="1" applyProtection="1">
      <alignment horizontal="center"/>
    </xf>
    <xf numFmtId="0" fontId="5" fillId="0" borderId="4" xfId="1" applyFont="1" applyBorder="1" applyAlignment="1" applyProtection="1">
      <alignment horizontal="center"/>
    </xf>
    <xf numFmtId="0" fontId="18" fillId="0" borderId="4" xfId="1" applyFont="1" applyBorder="1" applyAlignment="1" applyProtection="1">
      <alignment horizontal="center"/>
    </xf>
    <xf numFmtId="1" fontId="5" fillId="0" borderId="3" xfId="1" applyNumberFormat="1" applyFont="1" applyBorder="1" applyProtection="1"/>
    <xf numFmtId="166" fontId="5" fillId="0" borderId="3" xfId="1" applyNumberFormat="1" applyFont="1" applyBorder="1" applyProtection="1"/>
    <xf numFmtId="0" fontId="5" fillId="2" borderId="3" xfId="1" applyFont="1" applyFill="1" applyBorder="1" applyProtection="1"/>
    <xf numFmtId="1" fontId="5" fillId="2" borderId="3" xfId="1" applyNumberFormat="1" applyFont="1" applyFill="1" applyBorder="1" applyProtection="1"/>
    <xf numFmtId="3" fontId="9" fillId="2" borderId="3" xfId="1" applyNumberFormat="1" applyFont="1" applyFill="1" applyBorder="1" applyAlignment="1" applyProtection="1">
      <alignment horizontal="center" vertical="center"/>
    </xf>
    <xf numFmtId="167" fontId="5" fillId="0" borderId="3" xfId="1" applyNumberFormat="1" applyFont="1" applyBorder="1" applyProtection="1"/>
    <xf numFmtId="0" fontId="5" fillId="2" borderId="0" xfId="1" applyFont="1" applyFill="1" applyProtection="1"/>
    <xf numFmtId="0" fontId="14" fillId="0" borderId="0" xfId="1" applyFont="1" applyAlignment="1" applyProtection="1">
      <alignment vertical="center"/>
    </xf>
    <xf numFmtId="0" fontId="5" fillId="24" borderId="0" xfId="1" applyFont="1" applyFill="1" applyProtection="1"/>
    <xf numFmtId="1" fontId="9" fillId="24" borderId="0" xfId="1" applyNumberFormat="1" applyFont="1" applyFill="1" applyAlignment="1" applyProtection="1">
      <alignment horizontal="center"/>
    </xf>
    <xf numFmtId="0" fontId="9" fillId="25" borderId="0" xfId="1" applyFont="1" applyFill="1" applyAlignment="1" applyProtection="1">
      <alignment horizontal="center"/>
    </xf>
    <xf numFmtId="1" fontId="9" fillId="25" borderId="0" xfId="1" applyNumberFormat="1" applyFont="1" applyFill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9" fillId="11" borderId="0" xfId="1" applyFont="1" applyFill="1" applyAlignment="1" applyProtection="1">
      <alignment horizontal="center" vertical="center"/>
    </xf>
    <xf numFmtId="0" fontId="5" fillId="26" borderId="0" xfId="1" applyFont="1" applyFill="1" applyProtection="1"/>
    <xf numFmtId="1" fontId="9" fillId="26" borderId="0" xfId="1" applyNumberFormat="1" applyFont="1" applyFill="1" applyAlignment="1" applyProtection="1">
      <alignment horizontal="center"/>
    </xf>
    <xf numFmtId="0" fontId="9" fillId="27" borderId="0" xfId="1" applyFont="1" applyFill="1" applyAlignment="1" applyProtection="1">
      <alignment horizontal="center"/>
    </xf>
    <xf numFmtId="168" fontId="9" fillId="27" borderId="0" xfId="1" applyNumberFormat="1" applyFont="1" applyFill="1" applyAlignment="1" applyProtection="1">
      <alignment horizontal="center"/>
    </xf>
    <xf numFmtId="0" fontId="9" fillId="28" borderId="0" xfId="1" applyFont="1" applyFill="1" applyAlignment="1" applyProtection="1">
      <alignment horizontal="center"/>
    </xf>
    <xf numFmtId="0" fontId="3" fillId="29" borderId="0" xfId="1" applyFont="1" applyFill="1" applyAlignment="1" applyProtection="1">
      <alignment vertical="center"/>
    </xf>
    <xf numFmtId="168" fontId="9" fillId="30" borderId="0" xfId="1" applyNumberFormat="1" applyFont="1" applyFill="1" applyAlignment="1" applyProtection="1">
      <alignment horizontal="center"/>
    </xf>
    <xf numFmtId="0" fontId="5" fillId="11" borderId="0" xfId="1" applyFont="1" applyFill="1" applyProtection="1"/>
    <xf numFmtId="1" fontId="5" fillId="11" borderId="0" xfId="1" applyNumberFormat="1" applyFont="1" applyFill="1" applyAlignment="1" applyProtection="1">
      <alignment horizontal="center"/>
    </xf>
    <xf numFmtId="0" fontId="9" fillId="2" borderId="0" xfId="1" applyFont="1" applyFill="1" applyAlignment="1" applyProtection="1">
      <alignment horizontal="center"/>
    </xf>
    <xf numFmtId="168" fontId="9" fillId="2" borderId="0" xfId="1" applyNumberFormat="1" applyFont="1" applyFill="1" applyAlignment="1" applyProtection="1">
      <alignment horizontal="center"/>
    </xf>
    <xf numFmtId="168" fontId="5" fillId="0" borderId="0" xfId="1" applyNumberFormat="1" applyFont="1" applyProtection="1"/>
    <xf numFmtId="1" fontId="5" fillId="0" borderId="0" xfId="1" applyNumberFormat="1" applyFont="1" applyAlignment="1" applyProtection="1">
      <alignment horizontal="center"/>
    </xf>
    <xf numFmtId="0" fontId="9" fillId="31" borderId="0" xfId="1" applyFont="1" applyFill="1" applyAlignment="1" applyProtection="1">
      <alignment horizontal="center"/>
    </xf>
    <xf numFmtId="168" fontId="9" fillId="31" borderId="0" xfId="1" applyNumberFormat="1" applyFont="1" applyFill="1" applyAlignment="1" applyProtection="1">
      <alignment horizontal="center"/>
    </xf>
    <xf numFmtId="1" fontId="5" fillId="0" borderId="0" xfId="1" applyNumberFormat="1" applyFont="1" applyProtection="1"/>
    <xf numFmtId="46" fontId="5" fillId="0" borderId="0" xfId="1" applyNumberFormat="1" applyFont="1" applyProtection="1"/>
    <xf numFmtId="3" fontId="9" fillId="25" borderId="0" xfId="1" applyNumberFormat="1" applyFont="1" applyFill="1" applyAlignment="1" applyProtection="1">
      <alignment horizontal="center"/>
    </xf>
    <xf numFmtId="0" fontId="9" fillId="25" borderId="0" xfId="1" applyFont="1" applyFill="1" applyAlignment="1" applyProtection="1">
      <alignment horizontal="center"/>
    </xf>
    <xf numFmtId="0" fontId="9" fillId="25" borderId="0" xfId="1" applyFont="1" applyFill="1" applyProtection="1"/>
    <xf numFmtId="0" fontId="2" fillId="2" borderId="0" xfId="1" applyFont="1" applyFill="1" applyAlignment="1" applyProtection="1">
      <alignment vertical="center"/>
    </xf>
    <xf numFmtId="0" fontId="20" fillId="27" borderId="0" xfId="1" applyFont="1" applyFill="1" applyAlignment="1" applyProtection="1">
      <alignment horizontal="center"/>
    </xf>
    <xf numFmtId="1" fontId="20" fillId="27" borderId="0" xfId="1" applyNumberFormat="1" applyFont="1" applyFill="1" applyAlignment="1" applyProtection="1">
      <alignment horizontal="center"/>
    </xf>
    <xf numFmtId="0" fontId="20" fillId="27" borderId="0" xfId="1" applyFont="1" applyFill="1" applyAlignment="1" applyProtection="1">
      <alignment horizontal="center"/>
    </xf>
    <xf numFmtId="3" fontId="20" fillId="27" borderId="0" xfId="1" applyNumberFormat="1" applyFont="1" applyFill="1" applyAlignment="1" applyProtection="1">
      <alignment horizontal="center"/>
    </xf>
    <xf numFmtId="0" fontId="20" fillId="27" borderId="0" xfId="1" applyFont="1" applyFill="1" applyProtection="1"/>
    <xf numFmtId="1" fontId="20" fillId="27" borderId="0" xfId="1" applyNumberFormat="1" applyFont="1" applyFill="1" applyProtection="1"/>
    <xf numFmtId="169" fontId="2" fillId="2" borderId="0" xfId="1" applyNumberFormat="1" applyFont="1" applyFill="1" applyAlignment="1" applyProtection="1">
      <alignment horizontal="center" vertical="center"/>
    </xf>
    <xf numFmtId="0" fontId="9" fillId="32" borderId="0" xfId="1" applyFont="1" applyFill="1" applyAlignment="1" applyProtection="1">
      <alignment horizontal="center"/>
    </xf>
    <xf numFmtId="0" fontId="3" fillId="33" borderId="0" xfId="1" applyFont="1" applyFill="1" applyAlignment="1" applyProtection="1">
      <alignment vertical="center"/>
    </xf>
    <xf numFmtId="1" fontId="9" fillId="32" borderId="0" xfId="1" applyNumberFormat="1" applyFont="1" applyFill="1" applyAlignment="1" applyProtection="1">
      <alignment horizontal="center"/>
    </xf>
    <xf numFmtId="0" fontId="21" fillId="34" borderId="0" xfId="1" applyFont="1" applyFill="1" applyAlignment="1" applyProtection="1">
      <alignment horizontal="center"/>
    </xf>
    <xf numFmtId="0" fontId="9" fillId="32" borderId="0" xfId="1" applyFont="1" applyFill="1" applyProtection="1"/>
    <xf numFmtId="3" fontId="9" fillId="31" borderId="0" xfId="1" applyNumberFormat="1" applyFont="1" applyFill="1" applyAlignment="1" applyProtection="1">
      <alignment horizontal="center" vertical="center"/>
    </xf>
    <xf numFmtId="0" fontId="10" fillId="31" borderId="0" xfId="1" applyFont="1" applyFill="1" applyProtection="1"/>
    <xf numFmtId="0" fontId="18" fillId="0" borderId="0" xfId="1" applyFont="1" applyProtection="1"/>
    <xf numFmtId="0" fontId="10" fillId="35" borderId="0" xfId="1" applyFont="1" applyFill="1" applyAlignment="1" applyProtection="1">
      <alignment horizontal="center"/>
    </xf>
    <xf numFmtId="0" fontId="10" fillId="0" borderId="0" xfId="1" applyFont="1" applyProtection="1"/>
    <xf numFmtId="1" fontId="18" fillId="0" borderId="0" xfId="1" applyNumberFormat="1" applyFont="1" applyProtection="1"/>
    <xf numFmtId="0" fontId="18" fillId="0" borderId="0" xfId="1" applyFont="1" applyProtection="1"/>
    <xf numFmtId="3" fontId="18" fillId="0" borderId="0" xfId="1" applyNumberFormat="1" applyFont="1" applyProtection="1"/>
    <xf numFmtId="3" fontId="5" fillId="0" borderId="0" xfId="1" applyNumberFormat="1" applyFont="1" applyProtection="1"/>
    <xf numFmtId="0" fontId="22" fillId="25" borderId="0" xfId="1" applyFont="1" applyFill="1" applyAlignment="1" applyProtection="1">
      <alignment horizontal="center" vertical="center"/>
    </xf>
    <xf numFmtId="0" fontId="23" fillId="0" borderId="0" xfId="1" applyFont="1" applyAlignment="1" applyProtection="1">
      <alignment vertical="center"/>
    </xf>
  </cellXfs>
  <cellStyles count="2">
    <cellStyle name="Normal" xfId="0" builtinId="0"/>
    <cellStyle name="Normal 2 2 2 2 2 2 2 2" xfId="1" xr:uid="{2BC2DC19-D374-4104-9332-419B42B0B8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Packages/5319275A.WhatsAppDesktop_cv1g1gvanyjgm/LocalState/sessions/3C0EAFD82C70BDD9A9C61D0161A0012A67FBCD47/transfers/2026-36/LPH%203%20ALUR%20SEPTEMBER%202026.xlsx" TargetMode="External"/><Relationship Id="rId2" Type="http://schemas.openxmlformats.org/officeDocument/2006/relationships/externalLinkPath" Target="file:///C:\Users\Chan\AppData\Local\Packages\5319275A.WhatsAppDesktop_cv1g1gvanyjgm\LocalState\sessions\3C0EAFD82C70BDD9A9C61D0161A0012A67FBCD47\transfers\2026-36\LPH%203%20ALUR%20SEPTEMBER%202026.xlsx" TargetMode="External"/><Relationship Id="rId1" Type="http://schemas.openxmlformats.org/officeDocument/2006/relationships/externalLinkPath" Target="/Users/Chan/AppData/Local/Packages/5319275A.WhatsAppDesktop_cv1g1gvanyjgm/LocalState/sessions/3C0EAFD82C70BDD9A9C61D0161A0012A67FBCD47/transfers/2026-36/LPH%203%20ALUR%20SEPTEMBE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31-8"/>
      <sheetName val="1-9"/>
      <sheetName val="2-9"/>
      <sheetName val="3-9"/>
    </sheetNames>
    <sheetDataSet>
      <sheetData sheetId="0"/>
      <sheetData sheetId="1"/>
      <sheetData sheetId="2">
        <row r="6">
          <cell r="Y6">
            <v>3592</v>
          </cell>
        </row>
        <row r="7">
          <cell r="Y7">
            <v>3674</v>
          </cell>
        </row>
        <row r="8">
          <cell r="Y8">
            <v>3900</v>
          </cell>
        </row>
        <row r="9">
          <cell r="Y9">
            <v>4025</v>
          </cell>
        </row>
        <row r="10">
          <cell r="Y10">
            <v>4100</v>
          </cell>
        </row>
        <row r="11">
          <cell r="Y11">
            <v>4306</v>
          </cell>
        </row>
        <row r="12">
          <cell r="Y12">
            <v>4250</v>
          </cell>
        </row>
        <row r="13">
          <cell r="Y13">
            <v>4140</v>
          </cell>
        </row>
        <row r="14">
          <cell r="Y14">
            <v>0</v>
          </cell>
        </row>
        <row r="15">
          <cell r="Y15">
            <v>0</v>
          </cell>
        </row>
        <row r="16">
          <cell r="Y16">
            <v>0</v>
          </cell>
        </row>
        <row r="17">
          <cell r="Y17">
            <v>1027</v>
          </cell>
        </row>
        <row r="18">
          <cell r="Y18">
            <v>1265</v>
          </cell>
        </row>
        <row r="19">
          <cell r="Y19">
            <v>1335</v>
          </cell>
        </row>
        <row r="20">
          <cell r="Y20">
            <v>1310</v>
          </cell>
        </row>
        <row r="21">
          <cell r="Y21">
            <v>1500</v>
          </cell>
        </row>
        <row r="22">
          <cell r="Y22">
            <v>1737</v>
          </cell>
        </row>
        <row r="23">
          <cell r="Y23">
            <v>1618</v>
          </cell>
        </row>
        <row r="24">
          <cell r="Y24">
            <v>1007</v>
          </cell>
        </row>
        <row r="25">
          <cell r="Y25">
            <v>0</v>
          </cell>
        </row>
        <row r="26">
          <cell r="Y26">
            <v>0</v>
          </cell>
        </row>
        <row r="27">
          <cell r="Y27">
            <v>0</v>
          </cell>
        </row>
        <row r="28">
          <cell r="Y28">
            <v>0</v>
          </cell>
        </row>
        <row r="29">
          <cell r="Y29">
            <v>42786</v>
          </cell>
        </row>
        <row r="30">
          <cell r="Y30">
            <v>142.62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5DE5-4673-4D00-A39B-5B0CE197E92A}">
  <sheetPr>
    <pageSetUpPr fitToPage="1"/>
  </sheetPr>
  <dimension ref="A1:EC111"/>
  <sheetViews>
    <sheetView tabSelected="1" zoomScale="32" zoomScaleNormal="32" workbookViewId="0">
      <pane xSplit="1" ySplit="3" topLeftCell="B4" activePane="bottomRight" state="frozen"/>
      <selection pane="topRight"/>
      <selection pane="bottomLeft"/>
      <selection pane="bottomRight" activeCell="G44" sqref="G44"/>
    </sheetView>
  </sheetViews>
  <sheetFormatPr defaultColWidth="14.44140625" defaultRowHeight="15" customHeight="1" x14ac:dyDescent="0.3"/>
  <cols>
    <col min="1" max="1" width="44.6640625" style="5" customWidth="1"/>
    <col min="2" max="2" width="20.88671875" style="5" customWidth="1"/>
    <col min="3" max="3" width="20" style="5" customWidth="1"/>
    <col min="4" max="4" width="18.88671875" style="5" customWidth="1"/>
    <col min="5" max="5" width="17.44140625" style="5" customWidth="1"/>
    <col min="6" max="6" width="14.5546875" style="5" customWidth="1"/>
    <col min="7" max="7" width="26.33203125" style="5" customWidth="1"/>
    <col min="8" max="8" width="11.33203125" style="5" bestFit="1" customWidth="1"/>
    <col min="9" max="9" width="9.44140625" style="5" customWidth="1"/>
    <col min="10" max="10" width="41.6640625" style="5" customWidth="1"/>
    <col min="11" max="11" width="15.109375" style="5" customWidth="1"/>
    <col min="12" max="12" width="12" style="5" customWidth="1"/>
    <col min="13" max="13" width="17.33203125" style="5" customWidth="1"/>
    <col min="14" max="14" width="13.109375" style="5" customWidth="1"/>
    <col min="15" max="15" width="21.5546875" style="5" bestFit="1" customWidth="1"/>
    <col min="16" max="16" width="17.6640625" style="5" customWidth="1"/>
    <col min="17" max="17" width="16.33203125" style="5" customWidth="1"/>
    <col min="18" max="18" width="17.109375" style="5" customWidth="1"/>
    <col min="19" max="21" width="14.109375" style="5" customWidth="1"/>
    <col min="22" max="22" width="13" style="5" customWidth="1"/>
    <col min="23" max="23" width="14.88671875" style="5" customWidth="1"/>
    <col min="24" max="24" width="11.6640625" style="5" customWidth="1"/>
    <col min="25" max="25" width="24.5546875" style="5" customWidth="1"/>
    <col min="26" max="26" width="18.6640625" style="5" customWidth="1"/>
    <col min="27" max="27" width="17.5546875" style="5" bestFit="1" customWidth="1"/>
    <col min="28" max="28" width="17.88671875" style="5" customWidth="1"/>
    <col min="29" max="29" width="9.5546875" style="5" customWidth="1"/>
    <col min="30" max="30" width="29.44140625" style="5" customWidth="1"/>
    <col min="31" max="31" width="2.44140625" style="5" customWidth="1"/>
    <col min="32" max="32" width="12" style="5" customWidth="1"/>
    <col min="33" max="33" width="18.33203125" style="5" customWidth="1"/>
    <col min="34" max="16384" width="14.44140625" style="5"/>
  </cols>
  <sheetData>
    <row r="1" spans="1:33" ht="21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4"/>
      <c r="AG1" s="3"/>
    </row>
    <row r="2" spans="1:33" ht="21" customHeight="1" x14ac:dyDescent="0.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3"/>
      <c r="AF2" s="4"/>
      <c r="AG2" s="3"/>
    </row>
    <row r="3" spans="1:33" ht="34.5" customHeight="1" thickBot="1" x14ac:dyDescent="0.5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  <c r="K3" s="9"/>
      <c r="L3" s="9"/>
      <c r="M3" s="9"/>
      <c r="N3" s="10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3"/>
      <c r="AF3" s="4"/>
      <c r="AG3" s="3"/>
    </row>
    <row r="4" spans="1:33" ht="25.5" customHeight="1" thickBot="1" x14ac:dyDescent="0.35">
      <c r="A4" s="11" t="s">
        <v>3</v>
      </c>
      <c r="B4" s="12" t="s">
        <v>4</v>
      </c>
      <c r="C4" s="13" t="s">
        <v>5</v>
      </c>
      <c r="D4" s="14"/>
      <c r="E4" s="14"/>
      <c r="F4" s="14"/>
      <c r="G4" s="13" t="s">
        <v>6</v>
      </c>
      <c r="H4" s="14"/>
      <c r="I4" s="15"/>
      <c r="J4" s="13" t="s">
        <v>7</v>
      </c>
      <c r="K4" s="14"/>
      <c r="L4" s="14"/>
      <c r="M4" s="15"/>
      <c r="N4" s="13" t="s">
        <v>8</v>
      </c>
      <c r="O4" s="15"/>
      <c r="P4" s="13" t="s">
        <v>9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  <c r="AC4" s="16" t="s">
        <v>10</v>
      </c>
      <c r="AD4" s="15"/>
      <c r="AE4" s="3"/>
      <c r="AF4" s="4"/>
      <c r="AG4" s="3"/>
    </row>
    <row r="5" spans="1:33" ht="29.25" customHeight="1" thickBot="1" x14ac:dyDescent="0.35">
      <c r="A5" s="17"/>
      <c r="B5" s="12"/>
      <c r="C5" s="12" t="s">
        <v>11</v>
      </c>
      <c r="D5" s="12" t="s">
        <v>12</v>
      </c>
      <c r="E5" s="12" t="s">
        <v>13</v>
      </c>
      <c r="F5" s="12" t="s">
        <v>14</v>
      </c>
      <c r="G5" s="18" t="s">
        <v>15</v>
      </c>
      <c r="H5" s="18" t="s">
        <v>16</v>
      </c>
      <c r="I5" s="18" t="s">
        <v>17</v>
      </c>
      <c r="J5" s="18" t="s">
        <v>18</v>
      </c>
      <c r="K5" s="19" t="s">
        <v>19</v>
      </c>
      <c r="L5" s="20" t="s">
        <v>20</v>
      </c>
      <c r="M5" s="19" t="s">
        <v>21</v>
      </c>
      <c r="N5" s="21" t="s">
        <v>16</v>
      </c>
      <c r="O5" s="21" t="s">
        <v>22</v>
      </c>
      <c r="P5" s="21" t="s">
        <v>23</v>
      </c>
      <c r="Q5" s="21" t="s">
        <v>24</v>
      </c>
      <c r="R5" s="21" t="s">
        <v>25</v>
      </c>
      <c r="S5" s="21" t="s">
        <v>26</v>
      </c>
      <c r="T5" s="21" t="s">
        <v>27</v>
      </c>
      <c r="U5" s="21" t="s">
        <v>28</v>
      </c>
      <c r="V5" s="21" t="s">
        <v>29</v>
      </c>
      <c r="W5" s="18" t="s">
        <v>30</v>
      </c>
      <c r="X5" s="18" t="s">
        <v>31</v>
      </c>
      <c r="Y5" s="12" t="s">
        <v>32</v>
      </c>
      <c r="Z5" s="18" t="s">
        <v>33</v>
      </c>
      <c r="AA5" s="18" t="s">
        <v>34</v>
      </c>
      <c r="AB5" s="12" t="s">
        <v>35</v>
      </c>
      <c r="AC5" s="22" t="s">
        <v>36</v>
      </c>
      <c r="AD5" s="15"/>
      <c r="AE5" s="3"/>
      <c r="AF5" s="4"/>
      <c r="AG5" s="3"/>
    </row>
    <row r="6" spans="1:33" ht="69.75" customHeight="1" thickBot="1" x14ac:dyDescent="0.55000000000000004">
      <c r="A6" s="23" t="s">
        <v>37</v>
      </c>
      <c r="B6" s="24">
        <v>4104</v>
      </c>
      <c r="C6" s="25">
        <f>4095-2-5-3-1-1-1-1-1-1-1-1-1-2-2-1-1-2-1-1-1</f>
        <v>4065</v>
      </c>
      <c r="D6" s="26"/>
      <c r="E6" s="27"/>
      <c r="F6" s="27"/>
      <c r="G6" s="28">
        <v>46051</v>
      </c>
      <c r="H6" s="29">
        <v>31</v>
      </c>
      <c r="I6" s="29">
        <v>7</v>
      </c>
      <c r="J6" s="30" t="s">
        <v>38</v>
      </c>
      <c r="K6" s="31">
        <f>+L6*C6/1000</f>
        <v>499.995</v>
      </c>
      <c r="L6" s="31">
        <v>123</v>
      </c>
      <c r="M6" s="31">
        <v>113</v>
      </c>
      <c r="N6" s="31">
        <v>1910</v>
      </c>
      <c r="O6" s="31">
        <v>1858</v>
      </c>
      <c r="P6" s="31">
        <v>110</v>
      </c>
      <c r="Q6" s="31">
        <v>9</v>
      </c>
      <c r="R6" s="31">
        <v>3</v>
      </c>
      <c r="S6" s="31"/>
      <c r="T6" s="31"/>
      <c r="U6" s="31"/>
      <c r="V6" s="31"/>
      <c r="W6" s="31">
        <v>29</v>
      </c>
      <c r="X6" s="31"/>
      <c r="Y6" s="31">
        <f>+P6*30+Q6*30+R6+S6+U6+V6+W6+X6+T6</f>
        <v>3602</v>
      </c>
      <c r="Z6" s="31">
        <f>+Y6-'[1]2-9'!Y6</f>
        <v>10</v>
      </c>
      <c r="AA6" s="32">
        <f>Y6/C6*100</f>
        <v>88.610086100861011</v>
      </c>
      <c r="AB6" s="33">
        <v>95.5</v>
      </c>
      <c r="AC6" s="34" t="s">
        <v>39</v>
      </c>
      <c r="AD6" s="35"/>
      <c r="AE6" s="3"/>
      <c r="AF6" s="36" t="s">
        <v>40</v>
      </c>
      <c r="AG6" s="37">
        <f>+AA6-AB6</f>
        <v>-6.889913899138989</v>
      </c>
    </row>
    <row r="7" spans="1:33" ht="69.75" customHeight="1" thickBot="1" x14ac:dyDescent="0.55000000000000004">
      <c r="A7" s="23" t="s">
        <v>41</v>
      </c>
      <c r="B7" s="38">
        <v>4104</v>
      </c>
      <c r="C7" s="38">
        <f>4084-2-1-2-2-2-2-1-1-3-1-1-2-2-1-1-1-3-1-2</f>
        <v>4053</v>
      </c>
      <c r="D7" s="27">
        <v>2</v>
      </c>
      <c r="E7" s="26"/>
      <c r="F7" s="27"/>
      <c r="G7" s="28">
        <v>46051</v>
      </c>
      <c r="H7" s="29">
        <f>+H6</f>
        <v>31</v>
      </c>
      <c r="I7" s="29">
        <f>+I6</f>
        <v>7</v>
      </c>
      <c r="J7" s="30" t="str">
        <f>+J6</f>
        <v xml:space="preserve">LAYER </v>
      </c>
      <c r="K7" s="31">
        <f>+L7*C7/1000</f>
        <v>498.51900000000001</v>
      </c>
      <c r="L7" s="31">
        <f>+L6</f>
        <v>123</v>
      </c>
      <c r="M7" s="31">
        <f>+M6</f>
        <v>113</v>
      </c>
      <c r="N7" s="31">
        <v>1832</v>
      </c>
      <c r="O7" s="31">
        <f>+O6</f>
        <v>1858</v>
      </c>
      <c r="P7" s="31">
        <v>100</v>
      </c>
      <c r="Q7" s="31">
        <v>22</v>
      </c>
      <c r="R7" s="31">
        <v>20</v>
      </c>
      <c r="S7" s="31"/>
      <c r="T7" s="31"/>
      <c r="U7" s="31"/>
      <c r="V7" s="31">
        <v>2</v>
      </c>
      <c r="W7" s="31">
        <v>18</v>
      </c>
      <c r="X7" s="31">
        <v>4</v>
      </c>
      <c r="Y7" s="31">
        <f>+P7*30+Q7*30+R7+S7+U7+V7+W7+X7+T7</f>
        <v>3704</v>
      </c>
      <c r="Z7" s="31">
        <f>+Y7-'[1]2-9'!Y7</f>
        <v>30</v>
      </c>
      <c r="AA7" s="32">
        <f>Y7/C7*100</f>
        <v>91.389094497902789</v>
      </c>
      <c r="AB7" s="33">
        <f>+AB6</f>
        <v>95.5</v>
      </c>
      <c r="AC7" s="34" t="s">
        <v>39</v>
      </c>
      <c r="AD7" s="35"/>
      <c r="AE7" s="3"/>
      <c r="AF7" s="36" t="s">
        <v>40</v>
      </c>
      <c r="AG7" s="37">
        <f>+AA7-AB7</f>
        <v>-4.1109055020972107</v>
      </c>
    </row>
    <row r="8" spans="1:33" ht="69.75" customHeight="1" thickBot="1" x14ac:dyDescent="0.55000000000000004">
      <c r="A8" s="23" t="s">
        <v>42</v>
      </c>
      <c r="B8" s="38">
        <v>4104</v>
      </c>
      <c r="C8" s="25">
        <f>4104-3-1-2-1-1-1-1-2-1-1-2-1-1-2-2-1-1-1-1-1-1-1</f>
        <v>4075</v>
      </c>
      <c r="D8" s="27"/>
      <c r="E8" s="27"/>
      <c r="F8" s="27"/>
      <c r="G8" s="28">
        <v>46051</v>
      </c>
      <c r="H8" s="29">
        <f>+H6</f>
        <v>31</v>
      </c>
      <c r="I8" s="29">
        <f>+I6</f>
        <v>7</v>
      </c>
      <c r="J8" s="30" t="str">
        <f>+J7</f>
        <v xml:space="preserve">LAYER </v>
      </c>
      <c r="K8" s="31">
        <f t="shared" ref="K8:K24" si="0">+L8*C8/1000</f>
        <v>509.375</v>
      </c>
      <c r="L8" s="31">
        <v>125</v>
      </c>
      <c r="M8" s="31">
        <f>+M6</f>
        <v>113</v>
      </c>
      <c r="N8" s="31">
        <v>1881</v>
      </c>
      <c r="O8" s="31">
        <f>+O7</f>
        <v>1858</v>
      </c>
      <c r="P8" s="31">
        <v>110</v>
      </c>
      <c r="Q8" s="31">
        <v>19</v>
      </c>
      <c r="R8" s="31">
        <v>11</v>
      </c>
      <c r="S8" s="31"/>
      <c r="T8" s="31"/>
      <c r="U8" s="31"/>
      <c r="V8" s="31"/>
      <c r="W8" s="31">
        <v>19</v>
      </c>
      <c r="X8" s="31"/>
      <c r="Y8" s="31">
        <f t="shared" ref="Y8:Y28" si="1">+P8*30+Q8*30+R8+S8+U8+V8+W8+X8+T8</f>
        <v>3900</v>
      </c>
      <c r="Z8" s="31">
        <f>+Y8-'[1]2-9'!Y8</f>
        <v>0</v>
      </c>
      <c r="AA8" s="39">
        <f>Y8/C8*100</f>
        <v>95.705521472392647</v>
      </c>
      <c r="AB8" s="33">
        <f>+AB7</f>
        <v>95.5</v>
      </c>
      <c r="AC8" s="34" t="s">
        <v>39</v>
      </c>
      <c r="AD8" s="35"/>
      <c r="AE8" s="40"/>
      <c r="AF8" s="36" t="s">
        <v>40</v>
      </c>
      <c r="AG8" s="37">
        <f>+AA8-AB8</f>
        <v>0.20552147239264684</v>
      </c>
    </row>
    <row r="9" spans="1:33" ht="73.5" customHeight="1" thickBot="1" x14ac:dyDescent="0.55000000000000004">
      <c r="A9" s="23" t="s">
        <v>43</v>
      </c>
      <c r="B9" s="38">
        <v>4212</v>
      </c>
      <c r="C9" s="25">
        <f>4193-1-1-1-1-1</f>
        <v>4188</v>
      </c>
      <c r="D9" s="27"/>
      <c r="E9" s="27"/>
      <c r="F9" s="27"/>
      <c r="G9" s="28">
        <v>46051</v>
      </c>
      <c r="H9" s="29">
        <f t="shared" ref="H9:J10" si="2">H8</f>
        <v>31</v>
      </c>
      <c r="I9" s="29">
        <f t="shared" si="2"/>
        <v>7</v>
      </c>
      <c r="J9" s="30" t="str">
        <f t="shared" si="2"/>
        <v xml:space="preserve">LAYER </v>
      </c>
      <c r="K9" s="31">
        <f t="shared" si="0"/>
        <v>523.5</v>
      </c>
      <c r="L9" s="31">
        <f t="shared" ref="L9:L12" si="3">+L8</f>
        <v>125</v>
      </c>
      <c r="M9" s="31">
        <f>M8</f>
        <v>113</v>
      </c>
      <c r="N9" s="31">
        <v>1852</v>
      </c>
      <c r="O9" s="31">
        <f>O8</f>
        <v>1858</v>
      </c>
      <c r="P9" s="31">
        <v>100</v>
      </c>
      <c r="Q9" s="31">
        <v>34</v>
      </c>
      <c r="R9" s="31">
        <v>14</v>
      </c>
      <c r="S9" s="31"/>
      <c r="T9" s="31"/>
      <c r="U9" s="31"/>
      <c r="V9" s="31"/>
      <c r="W9" s="31">
        <v>16</v>
      </c>
      <c r="X9" s="31"/>
      <c r="Y9" s="31">
        <f t="shared" si="1"/>
        <v>4050</v>
      </c>
      <c r="Z9" s="31">
        <f>+Y9-'[1]2-9'!Y9</f>
        <v>25</v>
      </c>
      <c r="AA9" s="39">
        <f t="shared" ref="AA9:AA22" si="4">Y9/C9*100</f>
        <v>96.704871060171911</v>
      </c>
      <c r="AB9" s="33">
        <f>AB8</f>
        <v>95.5</v>
      </c>
      <c r="AC9" s="34" t="s">
        <v>39</v>
      </c>
      <c r="AD9" s="35"/>
      <c r="AE9" s="40"/>
      <c r="AF9" s="36" t="s">
        <v>40</v>
      </c>
      <c r="AG9" s="37">
        <f t="shared" ref="AG9:AG28" si="5">+AA9-AB9</f>
        <v>1.2048710601719108</v>
      </c>
    </row>
    <row r="10" spans="1:33" ht="69.75" customHeight="1" thickBot="1" x14ac:dyDescent="0.55000000000000004">
      <c r="A10" s="23" t="s">
        <v>44</v>
      </c>
      <c r="B10" s="38">
        <v>4356</v>
      </c>
      <c r="C10" s="25">
        <f>4343-1-1-1-1-1-1-2-1-3-2-1-1-2</f>
        <v>4325</v>
      </c>
      <c r="D10" s="27"/>
      <c r="E10" s="27"/>
      <c r="F10" s="27"/>
      <c r="G10" s="28">
        <v>46051</v>
      </c>
      <c r="H10" s="29">
        <f t="shared" si="2"/>
        <v>31</v>
      </c>
      <c r="I10" s="29">
        <f t="shared" si="2"/>
        <v>7</v>
      </c>
      <c r="J10" s="30" t="str">
        <f t="shared" si="2"/>
        <v xml:space="preserve">LAYER </v>
      </c>
      <c r="K10" s="31">
        <f t="shared" si="0"/>
        <v>540.625</v>
      </c>
      <c r="L10" s="31">
        <f t="shared" si="3"/>
        <v>125</v>
      </c>
      <c r="M10" s="31">
        <f>M8</f>
        <v>113</v>
      </c>
      <c r="N10" s="31">
        <v>1838</v>
      </c>
      <c r="O10" s="31">
        <f t="shared" ref="O10:O12" si="6">O9</f>
        <v>1858</v>
      </c>
      <c r="P10" s="31">
        <v>100</v>
      </c>
      <c r="Q10" s="31">
        <v>36</v>
      </c>
      <c r="R10" s="31"/>
      <c r="S10" s="31"/>
      <c r="T10" s="31"/>
      <c r="U10" s="31"/>
      <c r="V10" s="31"/>
      <c r="W10" s="31">
        <v>30</v>
      </c>
      <c r="X10" s="31"/>
      <c r="Y10" s="31">
        <f t="shared" si="1"/>
        <v>4110</v>
      </c>
      <c r="Z10" s="31">
        <f>+Y10-'[1]2-9'!Y10</f>
        <v>10</v>
      </c>
      <c r="AA10" s="41">
        <f t="shared" si="4"/>
        <v>95.028901734104039</v>
      </c>
      <c r="AB10" s="33">
        <f t="shared" ref="AB10:AB12" si="7">AB9</f>
        <v>95.5</v>
      </c>
      <c r="AC10" s="34"/>
      <c r="AD10" s="35"/>
      <c r="AE10" s="40"/>
      <c r="AF10" s="36" t="s">
        <v>40</v>
      </c>
      <c r="AG10" s="37">
        <f t="shared" si="5"/>
        <v>-0.47109826589596082</v>
      </c>
    </row>
    <row r="11" spans="1:33" ht="69.599999999999994" customHeight="1" thickBot="1" x14ac:dyDescent="0.55000000000000004">
      <c r="A11" s="23" t="s">
        <v>45</v>
      </c>
      <c r="B11" s="38">
        <v>4560</v>
      </c>
      <c r="C11" s="38">
        <f>4554-2-1-1-2-2-1-2-1-3-1-1-1-3-1-1-2-1-3-1-2</f>
        <v>4522</v>
      </c>
      <c r="D11" s="27">
        <v>2</v>
      </c>
      <c r="E11" s="26"/>
      <c r="F11" s="27"/>
      <c r="G11" s="28">
        <v>46051</v>
      </c>
      <c r="H11" s="29">
        <f>H9</f>
        <v>31</v>
      </c>
      <c r="I11" s="29">
        <f>I10</f>
        <v>7</v>
      </c>
      <c r="J11" s="30" t="str">
        <f>J10</f>
        <v xml:space="preserve">LAYER </v>
      </c>
      <c r="K11" s="31">
        <f t="shared" si="0"/>
        <v>565.25</v>
      </c>
      <c r="L11" s="31">
        <f t="shared" si="3"/>
        <v>125</v>
      </c>
      <c r="M11" s="31">
        <f>M8</f>
        <v>113</v>
      </c>
      <c r="N11" s="31">
        <v>1883</v>
      </c>
      <c r="O11" s="31">
        <f t="shared" si="6"/>
        <v>1858</v>
      </c>
      <c r="P11" s="31">
        <v>120</v>
      </c>
      <c r="Q11" s="31">
        <v>22</v>
      </c>
      <c r="R11" s="31">
        <v>21</v>
      </c>
      <c r="S11" s="31"/>
      <c r="T11" s="31"/>
      <c r="U11" s="31"/>
      <c r="V11" s="31"/>
      <c r="W11" s="31">
        <v>21</v>
      </c>
      <c r="X11" s="31">
        <v>3</v>
      </c>
      <c r="Y11" s="31">
        <f t="shared" si="1"/>
        <v>4305</v>
      </c>
      <c r="Z11" s="31">
        <f>+Y11-'[1]2-9'!Y11</f>
        <v>-1</v>
      </c>
      <c r="AA11" s="41">
        <f t="shared" si="4"/>
        <v>95.201238390092882</v>
      </c>
      <c r="AB11" s="33">
        <f t="shared" si="7"/>
        <v>95.5</v>
      </c>
      <c r="AC11" s="34"/>
      <c r="AD11" s="35"/>
      <c r="AE11" s="40"/>
      <c r="AF11" s="36" t="s">
        <v>40</v>
      </c>
      <c r="AG11" s="37">
        <f t="shared" si="5"/>
        <v>-0.29876160990711753</v>
      </c>
    </row>
    <row r="12" spans="1:33" ht="69.75" customHeight="1" thickBot="1" x14ac:dyDescent="0.55000000000000004">
      <c r="A12" s="42" t="s">
        <v>46</v>
      </c>
      <c r="B12" s="24">
        <v>4500</v>
      </c>
      <c r="C12" s="25">
        <f>4432-1-1-1-1-1-1-1-1-1-2-1-1-2-2</f>
        <v>4415</v>
      </c>
      <c r="D12" s="27"/>
      <c r="E12" s="27"/>
      <c r="F12" s="27"/>
      <c r="G12" s="28">
        <v>46051</v>
      </c>
      <c r="H12" s="29">
        <f>H11</f>
        <v>31</v>
      </c>
      <c r="I12" s="29">
        <f>I11</f>
        <v>7</v>
      </c>
      <c r="J12" s="30" t="str">
        <f>J11</f>
        <v xml:space="preserve">LAYER </v>
      </c>
      <c r="K12" s="31">
        <f t="shared" si="0"/>
        <v>551.875</v>
      </c>
      <c r="L12" s="31">
        <f t="shared" si="3"/>
        <v>125</v>
      </c>
      <c r="M12" s="31">
        <f>M8</f>
        <v>113</v>
      </c>
      <c r="N12" s="31">
        <v>1917</v>
      </c>
      <c r="O12" s="31">
        <f t="shared" si="6"/>
        <v>1858</v>
      </c>
      <c r="P12" s="31">
        <v>120</v>
      </c>
      <c r="Q12" s="31">
        <v>20</v>
      </c>
      <c r="R12" s="31">
        <v>25</v>
      </c>
      <c r="S12" s="31"/>
      <c r="T12" s="31">
        <v>7</v>
      </c>
      <c r="U12" s="31"/>
      <c r="V12" s="31"/>
      <c r="W12" s="31">
        <v>18</v>
      </c>
      <c r="X12" s="31">
        <v>2</v>
      </c>
      <c r="Y12" s="31">
        <f t="shared" si="1"/>
        <v>4252</v>
      </c>
      <c r="Z12" s="31">
        <f>+Y12-'[1]2-9'!Y12</f>
        <v>2</v>
      </c>
      <c r="AA12" s="39">
        <f t="shared" si="4"/>
        <v>96.308040770101925</v>
      </c>
      <c r="AB12" s="33">
        <f t="shared" si="7"/>
        <v>95.5</v>
      </c>
      <c r="AC12" s="34"/>
      <c r="AD12" s="35"/>
      <c r="AE12" s="40"/>
      <c r="AF12" s="36" t="s">
        <v>40</v>
      </c>
      <c r="AG12" s="37">
        <f t="shared" si="5"/>
        <v>0.80804077010192543</v>
      </c>
    </row>
    <row r="13" spans="1:33" ht="69.75" customHeight="1" thickBot="1" x14ac:dyDescent="0.55000000000000004">
      <c r="A13" s="43" t="s">
        <v>47</v>
      </c>
      <c r="B13" s="38">
        <v>4500</v>
      </c>
      <c r="C13" s="25">
        <f>4447-1-1-1-1-1-1-2-1-2-2-2-1-1-2-1-1-2-1-1-1</f>
        <v>4421</v>
      </c>
      <c r="D13" s="26">
        <v>1</v>
      </c>
      <c r="E13" s="26"/>
      <c r="F13" s="27"/>
      <c r="G13" s="28">
        <v>46051</v>
      </c>
      <c r="H13" s="29">
        <f>+H6</f>
        <v>31</v>
      </c>
      <c r="I13" s="29">
        <f>+I6</f>
        <v>7</v>
      </c>
      <c r="J13" s="30" t="str">
        <f>J12</f>
        <v xml:space="preserve">LAYER </v>
      </c>
      <c r="K13" s="31">
        <f t="shared" si="0"/>
        <v>543.78300000000002</v>
      </c>
      <c r="L13" s="31">
        <f>+L6</f>
        <v>123</v>
      </c>
      <c r="M13" s="31">
        <f>+M6</f>
        <v>113</v>
      </c>
      <c r="N13" s="31">
        <v>1850</v>
      </c>
      <c r="O13" s="31">
        <f>+O6</f>
        <v>1858</v>
      </c>
      <c r="P13" s="31">
        <v>120</v>
      </c>
      <c r="Q13" s="31">
        <v>16</v>
      </c>
      <c r="R13" s="31">
        <v>26</v>
      </c>
      <c r="S13" s="31"/>
      <c r="T13" s="31">
        <v>12</v>
      </c>
      <c r="U13" s="31"/>
      <c r="V13" s="31">
        <v>1</v>
      </c>
      <c r="W13" s="31">
        <v>15</v>
      </c>
      <c r="X13" s="31">
        <v>6</v>
      </c>
      <c r="Y13" s="31">
        <f t="shared" si="1"/>
        <v>4140</v>
      </c>
      <c r="Z13" s="31">
        <f>+Y13-'[1]2-9'!Y13</f>
        <v>0</v>
      </c>
      <c r="AA13" s="44">
        <f t="shared" si="4"/>
        <v>93.643971952047039</v>
      </c>
      <c r="AB13" s="33">
        <f>+AB6</f>
        <v>95.5</v>
      </c>
      <c r="AC13" s="34"/>
      <c r="AD13" s="35"/>
      <c r="AE13" s="3"/>
      <c r="AF13" s="36" t="s">
        <v>40</v>
      </c>
      <c r="AG13" s="37">
        <f t="shared" si="5"/>
        <v>-1.8560280479529609</v>
      </c>
    </row>
    <row r="14" spans="1:33" ht="69.75" customHeight="1" thickBot="1" x14ac:dyDescent="0.55000000000000004">
      <c r="A14" s="45" t="s">
        <v>48</v>
      </c>
      <c r="B14" s="38">
        <v>4140</v>
      </c>
      <c r="C14" s="25">
        <f>3623-1-2-1100-2420-35</f>
        <v>65</v>
      </c>
      <c r="D14" s="27"/>
      <c r="E14" s="27"/>
      <c r="F14" s="27"/>
      <c r="G14" s="46">
        <v>45516</v>
      </c>
      <c r="H14" s="47">
        <v>106</v>
      </c>
      <c r="I14" s="47">
        <v>25</v>
      </c>
      <c r="J14" s="48" t="s">
        <v>49</v>
      </c>
      <c r="K14" s="49">
        <f t="shared" si="0"/>
        <v>7.93</v>
      </c>
      <c r="L14" s="50">
        <v>122</v>
      </c>
      <c r="M14" s="50">
        <v>114</v>
      </c>
      <c r="N14" s="50"/>
      <c r="O14" s="50">
        <v>2000</v>
      </c>
      <c r="P14" s="31"/>
      <c r="Q14" s="31"/>
      <c r="R14" s="31"/>
      <c r="S14" s="31"/>
      <c r="T14" s="31"/>
      <c r="U14" s="31"/>
      <c r="V14" s="31"/>
      <c r="W14" s="31"/>
      <c r="X14" s="50"/>
      <c r="Y14" s="31">
        <f t="shared" si="1"/>
        <v>0</v>
      </c>
      <c r="Z14" s="31">
        <f>+Y14-'[1]2-9'!Y14</f>
        <v>0</v>
      </c>
      <c r="AA14" s="51">
        <f>Y14/C14*100</f>
        <v>0</v>
      </c>
      <c r="AB14" s="33">
        <v>77.7</v>
      </c>
      <c r="AC14" s="34"/>
      <c r="AD14" s="35"/>
      <c r="AE14" s="3"/>
      <c r="AF14" s="52" t="s">
        <v>50</v>
      </c>
      <c r="AG14" s="37">
        <f>+AA14-AB14</f>
        <v>-77.7</v>
      </c>
    </row>
    <row r="15" spans="1:33" ht="69.75" customHeight="1" thickBot="1" x14ac:dyDescent="0.55000000000000004">
      <c r="A15" s="53" t="s">
        <v>51</v>
      </c>
      <c r="B15" s="54">
        <v>3780</v>
      </c>
      <c r="C15" s="55">
        <f>3278-2610-320-190+9-167</f>
        <v>0</v>
      </c>
      <c r="D15" s="56"/>
      <c r="E15" s="56"/>
      <c r="F15" s="56"/>
      <c r="G15" s="57">
        <v>45516</v>
      </c>
      <c r="H15" s="58">
        <f t="shared" ref="H15:I15" si="8">+H14</f>
        <v>106</v>
      </c>
      <c r="I15" s="58">
        <f t="shared" si="8"/>
        <v>25</v>
      </c>
      <c r="J15" s="59" t="str">
        <f>+J14</f>
        <v xml:space="preserve">SPESIAL </v>
      </c>
      <c r="K15" s="60">
        <f t="shared" si="0"/>
        <v>0</v>
      </c>
      <c r="L15" s="61">
        <v>122</v>
      </c>
      <c r="M15" s="61">
        <v>114</v>
      </c>
      <c r="N15" s="61"/>
      <c r="O15" s="61">
        <f t="shared" ref="O15:O16" si="9">+O14</f>
        <v>2000</v>
      </c>
      <c r="P15" s="61"/>
      <c r="Q15" s="61"/>
      <c r="R15" s="61"/>
      <c r="S15" s="61"/>
      <c r="T15" s="61"/>
      <c r="U15" s="61"/>
      <c r="V15" s="61"/>
      <c r="W15" s="61"/>
      <c r="X15" s="61"/>
      <c r="Y15" s="62">
        <f t="shared" si="1"/>
        <v>0</v>
      </c>
      <c r="Z15" s="31">
        <f>+Y15-'[1]2-9'!Y15</f>
        <v>0</v>
      </c>
      <c r="AA15" s="63" t="e">
        <f t="shared" si="4"/>
        <v>#DIV/0!</v>
      </c>
      <c r="AB15" s="64">
        <f t="shared" ref="AB15:AB16" si="10">+AB14</f>
        <v>77.7</v>
      </c>
      <c r="AC15" s="65"/>
      <c r="AD15" s="66"/>
      <c r="AE15" s="3"/>
      <c r="AF15" s="52" t="s">
        <v>50</v>
      </c>
      <c r="AG15" s="37" t="e">
        <f t="shared" si="5"/>
        <v>#DIV/0!</v>
      </c>
    </row>
    <row r="16" spans="1:33" ht="68.25" customHeight="1" thickBot="1" x14ac:dyDescent="0.55000000000000004">
      <c r="A16" s="53" t="s">
        <v>52</v>
      </c>
      <c r="B16" s="54">
        <v>3060</v>
      </c>
      <c r="C16" s="55">
        <f>2564-1-2-1-2-2-2-1-1-1-2-3-2160-360-7-10-9</f>
        <v>0</v>
      </c>
      <c r="D16" s="56"/>
      <c r="E16" s="56"/>
      <c r="F16" s="56"/>
      <c r="G16" s="57">
        <v>45516</v>
      </c>
      <c r="H16" s="58">
        <f>H15</f>
        <v>106</v>
      </c>
      <c r="I16" s="58">
        <f>+I14</f>
        <v>25</v>
      </c>
      <c r="J16" s="59" t="str">
        <f>+J14</f>
        <v xml:space="preserve">SPESIAL </v>
      </c>
      <c r="K16" s="60">
        <f t="shared" si="0"/>
        <v>0</v>
      </c>
      <c r="L16" s="61">
        <v>122</v>
      </c>
      <c r="M16" s="61">
        <v>114</v>
      </c>
      <c r="N16" s="61"/>
      <c r="O16" s="61">
        <f t="shared" si="9"/>
        <v>2000</v>
      </c>
      <c r="P16" s="61"/>
      <c r="Q16" s="61"/>
      <c r="R16" s="61"/>
      <c r="S16" s="61"/>
      <c r="T16" s="61"/>
      <c r="U16" s="61"/>
      <c r="V16" s="61"/>
      <c r="W16" s="61"/>
      <c r="X16" s="61"/>
      <c r="Y16" s="62">
        <f>+P16*30+Q16*30+R16+S16+U16+V16+W16+X16+T16</f>
        <v>0</v>
      </c>
      <c r="Z16" s="31">
        <f>+Y16-'[1]2-9'!Y16</f>
        <v>0</v>
      </c>
      <c r="AA16" s="63" t="e">
        <f t="shared" si="4"/>
        <v>#DIV/0!</v>
      </c>
      <c r="AB16" s="64">
        <f t="shared" si="10"/>
        <v>77.7</v>
      </c>
      <c r="AC16" s="65"/>
      <c r="AD16" s="66"/>
      <c r="AE16" s="3"/>
      <c r="AF16" s="52" t="s">
        <v>50</v>
      </c>
      <c r="AG16" s="37" t="e">
        <f t="shared" si="5"/>
        <v>#DIV/0!</v>
      </c>
    </row>
    <row r="17" spans="1:33" ht="61.5" customHeight="1" thickBot="1" x14ac:dyDescent="0.55000000000000004">
      <c r="A17" s="43" t="s">
        <v>53</v>
      </c>
      <c r="B17" s="38">
        <v>1200</v>
      </c>
      <c r="C17" s="25">
        <f>1194-1-1-1-1-2-1-1-2-1-2-1-1-1-1-1-1-3-2-1-1-1-1-1-2-1-1-1-2-1-2-1-1-1-1-1-1-1-1-2-1-1-1-1-1-1-1-1-1-1-1</f>
        <v>1134</v>
      </c>
      <c r="D17" s="27"/>
      <c r="E17" s="27"/>
      <c r="F17" s="27"/>
      <c r="G17" s="67">
        <v>45890</v>
      </c>
      <c r="H17" s="29">
        <v>55</v>
      </c>
      <c r="I17" s="29">
        <v>12</v>
      </c>
      <c r="J17" s="68" t="s">
        <v>54</v>
      </c>
      <c r="K17" s="69">
        <f t="shared" si="0"/>
        <v>141.75</v>
      </c>
      <c r="L17" s="31">
        <v>125</v>
      </c>
      <c r="M17" s="31" t="s">
        <v>55</v>
      </c>
      <c r="N17" s="31">
        <v>1970</v>
      </c>
      <c r="O17" s="31">
        <v>1936</v>
      </c>
      <c r="P17" s="50">
        <v>30</v>
      </c>
      <c r="Q17" s="50">
        <v>4</v>
      </c>
      <c r="R17" s="50">
        <v>1</v>
      </c>
      <c r="S17" s="31"/>
      <c r="T17" s="31"/>
      <c r="U17" s="31"/>
      <c r="V17" s="31"/>
      <c r="W17" s="31">
        <v>5</v>
      </c>
      <c r="X17" s="31"/>
      <c r="Y17" s="31">
        <f t="shared" si="1"/>
        <v>1026</v>
      </c>
      <c r="Z17" s="31">
        <f>+Y17-'[1]2-9'!Y17</f>
        <v>-1</v>
      </c>
      <c r="AA17" s="70">
        <f>Y17/C17*100</f>
        <v>90.476190476190482</v>
      </c>
      <c r="AB17" s="33">
        <v>89.9</v>
      </c>
      <c r="AC17" s="34"/>
      <c r="AD17" s="35"/>
      <c r="AE17" s="3"/>
      <c r="AF17" s="71" t="s">
        <v>40</v>
      </c>
      <c r="AG17" s="37">
        <f>+AA17-AB17</f>
        <v>0.57619047619047592</v>
      </c>
    </row>
    <row r="18" spans="1:33" ht="60.75" customHeight="1" thickBot="1" x14ac:dyDescent="0.55000000000000004">
      <c r="A18" s="43" t="s">
        <v>56</v>
      </c>
      <c r="B18" s="38">
        <v>1440</v>
      </c>
      <c r="C18" s="25">
        <f>1425-1-1-2-1-1-1-1-1-1-1-1-1-1-1-1-1-1-1-2-1-1-1-1-1-1-1-1-1-1-1-1-1-1-1-1-1-1-1-1-1-1-1-1</f>
        <v>1380</v>
      </c>
      <c r="D18" s="27"/>
      <c r="E18" s="27"/>
      <c r="F18" s="27"/>
      <c r="G18" s="67">
        <v>45890</v>
      </c>
      <c r="H18" s="29">
        <f>+H17</f>
        <v>55</v>
      </c>
      <c r="I18" s="29">
        <f>+I17</f>
        <v>12</v>
      </c>
      <c r="J18" s="68" t="str">
        <f>+J17</f>
        <v xml:space="preserve">SPESIAL 2 </v>
      </c>
      <c r="K18" s="69">
        <f t="shared" si="0"/>
        <v>172.5</v>
      </c>
      <c r="L18" s="31">
        <v>125</v>
      </c>
      <c r="M18" s="31" t="str">
        <f>+M17</f>
        <v>121-129</v>
      </c>
      <c r="N18" s="31">
        <v>2048</v>
      </c>
      <c r="O18" s="31">
        <f>O17</f>
        <v>1936</v>
      </c>
      <c r="P18" s="31">
        <v>40</v>
      </c>
      <c r="Q18" s="50">
        <v>1</v>
      </c>
      <c r="R18" s="50">
        <v>7</v>
      </c>
      <c r="S18" s="31"/>
      <c r="T18" s="31"/>
      <c r="U18" s="31"/>
      <c r="V18" s="31"/>
      <c r="W18" s="31">
        <v>4</v>
      </c>
      <c r="X18" s="31"/>
      <c r="Y18" s="31">
        <f t="shared" si="1"/>
        <v>1241</v>
      </c>
      <c r="Z18" s="31">
        <f>+Y18-'[1]2-9'!Y18</f>
        <v>-24</v>
      </c>
      <c r="AA18" s="39">
        <f>Y18/C18*100</f>
        <v>89.927536231884048</v>
      </c>
      <c r="AB18" s="33">
        <f>AB17</f>
        <v>89.9</v>
      </c>
      <c r="AC18" s="34"/>
      <c r="AD18" s="35"/>
      <c r="AE18" s="3"/>
      <c r="AF18" s="71" t="s">
        <v>40</v>
      </c>
      <c r="AG18" s="37">
        <f t="shared" si="5"/>
        <v>2.7536231884042195E-2</v>
      </c>
    </row>
    <row r="19" spans="1:33" ht="56.25" customHeight="1" thickBot="1" x14ac:dyDescent="0.55000000000000004">
      <c r="A19" s="43" t="s">
        <v>57</v>
      </c>
      <c r="B19" s="38">
        <v>1560</v>
      </c>
      <c r="C19" s="25">
        <f>1558-2-1-1-1-1-3-2-1-1-2-3-2-2-1-2-1-1-4-1-1-1-1-1-1-1-2-2-1-1-1-1-1-1-1-1-1-2-1-1-1-1-1-1-1-1-1-1-1-1-1-1-1-1-1-2-1-1-1-1-1-1-1-1-1-1-1-1-1</f>
        <v>1473</v>
      </c>
      <c r="D19" s="27"/>
      <c r="E19" s="27"/>
      <c r="F19" s="27"/>
      <c r="G19" s="67">
        <v>45890</v>
      </c>
      <c r="H19" s="29">
        <f>+H17</f>
        <v>55</v>
      </c>
      <c r="I19" s="29">
        <f>+I18</f>
        <v>12</v>
      </c>
      <c r="J19" s="68" t="str">
        <f>+J17</f>
        <v xml:space="preserve">SPESIAL 2 </v>
      </c>
      <c r="K19" s="69">
        <f t="shared" si="0"/>
        <v>184.125</v>
      </c>
      <c r="L19" s="31">
        <v>125</v>
      </c>
      <c r="M19" s="31" t="str">
        <f>+M17</f>
        <v>121-129</v>
      </c>
      <c r="N19" s="31">
        <v>1964</v>
      </c>
      <c r="O19" s="31">
        <f>O17</f>
        <v>1936</v>
      </c>
      <c r="P19" s="31">
        <v>40</v>
      </c>
      <c r="Q19" s="50">
        <v>4</v>
      </c>
      <c r="R19" s="50">
        <v>1</v>
      </c>
      <c r="S19" s="31"/>
      <c r="T19" s="31"/>
      <c r="U19" s="31"/>
      <c r="V19" s="31"/>
      <c r="W19" s="31">
        <v>3</v>
      </c>
      <c r="X19" s="31"/>
      <c r="Y19" s="31">
        <f t="shared" si="1"/>
        <v>1324</v>
      </c>
      <c r="Z19" s="31">
        <f>+Y19-'[1]2-9'!Y19</f>
        <v>-11</v>
      </c>
      <c r="AA19" s="41">
        <f t="shared" si="4"/>
        <v>89.884589273591303</v>
      </c>
      <c r="AB19" s="33">
        <f t="shared" ref="AB19:AB21" si="11">+AB18</f>
        <v>89.9</v>
      </c>
      <c r="AC19" s="34"/>
      <c r="AD19" s="35"/>
      <c r="AE19" s="3"/>
      <c r="AF19" s="71" t="s">
        <v>40</v>
      </c>
      <c r="AG19" s="37">
        <f t="shared" si="5"/>
        <v>-1.5410726408703113E-2</v>
      </c>
    </row>
    <row r="20" spans="1:33" ht="63.75" customHeight="1" thickBot="1" x14ac:dyDescent="0.55000000000000004">
      <c r="A20" s="43" t="s">
        <v>58</v>
      </c>
      <c r="B20" s="24">
        <v>1560</v>
      </c>
      <c r="C20" s="25">
        <f>1540-1-3-1-1-3-2-1-1-1-2-2-1-1-2-1-1-1-1-1-1-2-1-1-2-1-1-2-1-1-1-1-1-1-1-1-1-1-1-1-1-1-1-1-1-1-1-1-1-1-1</f>
        <v>1479</v>
      </c>
      <c r="D20" s="27"/>
      <c r="E20" s="27"/>
      <c r="F20" s="27"/>
      <c r="G20" s="67">
        <v>45890</v>
      </c>
      <c r="H20" s="29">
        <f>+H17</f>
        <v>55</v>
      </c>
      <c r="I20" s="29">
        <f>+I19</f>
        <v>12</v>
      </c>
      <c r="J20" s="68" t="str">
        <f>+J17</f>
        <v xml:space="preserve">SPESIAL 2 </v>
      </c>
      <c r="K20" s="69">
        <f t="shared" si="0"/>
        <v>184.875</v>
      </c>
      <c r="L20" s="31">
        <v>125</v>
      </c>
      <c r="M20" s="31" t="str">
        <f>+M18</f>
        <v>121-129</v>
      </c>
      <c r="N20" s="31">
        <v>1981</v>
      </c>
      <c r="O20" s="31">
        <f>O17</f>
        <v>1936</v>
      </c>
      <c r="P20" s="31">
        <v>40</v>
      </c>
      <c r="Q20" s="50">
        <v>3</v>
      </c>
      <c r="R20" s="50">
        <v>1</v>
      </c>
      <c r="S20" s="31"/>
      <c r="T20" s="31"/>
      <c r="U20" s="31"/>
      <c r="V20" s="31"/>
      <c r="W20" s="31">
        <v>10</v>
      </c>
      <c r="X20" s="31"/>
      <c r="Y20" s="31">
        <f t="shared" si="1"/>
        <v>1301</v>
      </c>
      <c r="Z20" s="31">
        <f>+Y20-'[1]2-9'!Y20</f>
        <v>-9</v>
      </c>
      <c r="AA20" s="72">
        <f t="shared" si="4"/>
        <v>87.964841108857343</v>
      </c>
      <c r="AB20" s="33">
        <f t="shared" si="11"/>
        <v>89.9</v>
      </c>
      <c r="AC20" s="34"/>
      <c r="AD20" s="35"/>
      <c r="AE20" s="3"/>
      <c r="AF20" s="71" t="s">
        <v>40</v>
      </c>
      <c r="AG20" s="37">
        <f t="shared" si="5"/>
        <v>-1.9351588911426632</v>
      </c>
    </row>
    <row r="21" spans="1:33" ht="69.75" customHeight="1" thickBot="1" x14ac:dyDescent="0.55000000000000004">
      <c r="A21" s="43" t="s">
        <v>59</v>
      </c>
      <c r="B21" s="38">
        <v>1800</v>
      </c>
      <c r="C21" s="25">
        <f>1724-1-2-2-2-1-1-2-1-1-1-2-1-1-1-1-3-1-1-1-1-1-1-1-1-1-1-1-1-2-2-1-2-1-1-1-1-2-1-1-1-1-1-1-1-1+28-1-1-1-1-1-1-1-1-1-1-1-1</f>
        <v>1684</v>
      </c>
      <c r="D21" s="27"/>
      <c r="E21" s="27"/>
      <c r="F21" s="27"/>
      <c r="G21" s="67">
        <v>45890</v>
      </c>
      <c r="H21" s="29">
        <f>+H17</f>
        <v>55</v>
      </c>
      <c r="I21" s="29">
        <f>+I20</f>
        <v>12</v>
      </c>
      <c r="J21" s="68" t="str">
        <f>+J17</f>
        <v xml:space="preserve">SPESIAL 2 </v>
      </c>
      <c r="K21" s="69">
        <f t="shared" si="0"/>
        <v>210.5</v>
      </c>
      <c r="L21" s="31">
        <v>125</v>
      </c>
      <c r="M21" s="31" t="str">
        <f>+M17</f>
        <v>121-129</v>
      </c>
      <c r="N21" s="31">
        <v>1976</v>
      </c>
      <c r="O21" s="31">
        <f>O17</f>
        <v>1936</v>
      </c>
      <c r="P21" s="31">
        <v>40</v>
      </c>
      <c r="Q21" s="50">
        <v>10</v>
      </c>
      <c r="R21" s="50">
        <v>7</v>
      </c>
      <c r="S21" s="31"/>
      <c r="T21" s="31"/>
      <c r="U21" s="31"/>
      <c r="V21" s="31"/>
      <c r="W21" s="31">
        <v>7</v>
      </c>
      <c r="X21" s="31"/>
      <c r="Y21" s="31">
        <f t="shared" si="1"/>
        <v>1514</v>
      </c>
      <c r="Z21" s="31">
        <f>+Y21-'[1]2-9'!Y21</f>
        <v>14</v>
      </c>
      <c r="AA21" s="39">
        <f t="shared" si="4"/>
        <v>89.904988123515437</v>
      </c>
      <c r="AB21" s="33">
        <f t="shared" si="11"/>
        <v>89.9</v>
      </c>
      <c r="AC21" s="34"/>
      <c r="AD21" s="35"/>
      <c r="AE21" s="3"/>
      <c r="AF21" s="71" t="s">
        <v>40</v>
      </c>
      <c r="AG21" s="37">
        <f t="shared" si="5"/>
        <v>4.9881235154316528E-3</v>
      </c>
    </row>
    <row r="22" spans="1:33" ht="69.75" customHeight="1" thickBot="1" x14ac:dyDescent="0.55000000000000004">
      <c r="A22" s="43" t="s">
        <v>60</v>
      </c>
      <c r="B22" s="73">
        <v>1800</v>
      </c>
      <c r="C22" s="25">
        <f>1783-1-1-2-2-1-1-2-1-1-1</f>
        <v>1770</v>
      </c>
      <c r="D22" s="27"/>
      <c r="E22" s="27"/>
      <c r="F22" s="27"/>
      <c r="G22" s="28">
        <v>46051</v>
      </c>
      <c r="H22" s="29">
        <f>H8</f>
        <v>31</v>
      </c>
      <c r="I22" s="29">
        <f>I12</f>
        <v>7</v>
      </c>
      <c r="J22" s="30" t="str">
        <f>J12</f>
        <v xml:space="preserve">LAYER </v>
      </c>
      <c r="K22" s="31">
        <f t="shared" si="0"/>
        <v>221.25</v>
      </c>
      <c r="L22" s="31">
        <f>L12</f>
        <v>125</v>
      </c>
      <c r="M22" s="31">
        <f>M8</f>
        <v>113</v>
      </c>
      <c r="N22" s="31">
        <v>1980</v>
      </c>
      <c r="O22" s="31">
        <f>O12</f>
        <v>1858</v>
      </c>
      <c r="P22" s="31">
        <v>50</v>
      </c>
      <c r="Q22" s="31">
        <v>7</v>
      </c>
      <c r="R22" s="31">
        <v>23</v>
      </c>
      <c r="S22" s="31"/>
      <c r="T22" s="31"/>
      <c r="U22" s="31"/>
      <c r="V22" s="31"/>
      <c r="W22" s="31">
        <v>5</v>
      </c>
      <c r="X22" s="31"/>
      <c r="Y22" s="31">
        <f t="shared" si="1"/>
        <v>1738</v>
      </c>
      <c r="Z22" s="31">
        <f>+Y22-'[1]2-9'!Y22</f>
        <v>1</v>
      </c>
      <c r="AA22" s="39">
        <f t="shared" si="4"/>
        <v>98.192090395480221</v>
      </c>
      <c r="AB22" s="33">
        <f>AB12</f>
        <v>95.5</v>
      </c>
      <c r="AC22" s="34"/>
      <c r="AD22" s="35"/>
      <c r="AE22" s="40"/>
      <c r="AF22" s="36" t="s">
        <v>40</v>
      </c>
      <c r="AG22" s="37">
        <f t="shared" si="5"/>
        <v>2.6920903954802213</v>
      </c>
    </row>
    <row r="23" spans="1:33" ht="69.75" customHeight="1" thickBot="1" x14ac:dyDescent="0.55000000000000004">
      <c r="A23" s="43" t="s">
        <v>61</v>
      </c>
      <c r="B23" s="73">
        <v>1668</v>
      </c>
      <c r="C23" s="25">
        <f>1657-1-1-1-1-1-2-1-1-2-1-1-2</f>
        <v>1642</v>
      </c>
      <c r="D23" s="27"/>
      <c r="E23" s="27"/>
      <c r="F23" s="27"/>
      <c r="G23" s="28">
        <v>46051</v>
      </c>
      <c r="H23" s="29">
        <f>H8</f>
        <v>31</v>
      </c>
      <c r="I23" s="29">
        <f t="shared" ref="I23:J24" si="12">I22</f>
        <v>7</v>
      </c>
      <c r="J23" s="30" t="str">
        <f t="shared" si="12"/>
        <v xml:space="preserve">LAYER </v>
      </c>
      <c r="K23" s="31">
        <f t="shared" si="0"/>
        <v>205.25</v>
      </c>
      <c r="L23" s="31">
        <f t="shared" ref="L23:M24" si="13">L22</f>
        <v>125</v>
      </c>
      <c r="M23" s="31">
        <f t="shared" si="13"/>
        <v>113</v>
      </c>
      <c r="N23" s="31">
        <v>1920</v>
      </c>
      <c r="O23" s="31">
        <f>O22</f>
        <v>1858</v>
      </c>
      <c r="P23" s="31">
        <v>50</v>
      </c>
      <c r="Q23" s="31">
        <v>3</v>
      </c>
      <c r="R23" s="31">
        <v>23</v>
      </c>
      <c r="S23" s="31"/>
      <c r="T23" s="31"/>
      <c r="U23" s="31"/>
      <c r="V23" s="31"/>
      <c r="W23" s="31">
        <v>6</v>
      </c>
      <c r="X23" s="31"/>
      <c r="Y23" s="31">
        <f t="shared" si="1"/>
        <v>1619</v>
      </c>
      <c r="Z23" s="31">
        <f>+Y23-'[1]2-9'!Y23</f>
        <v>1</v>
      </c>
      <c r="AA23" s="39">
        <f>Y23/C23*100</f>
        <v>98.599269183922047</v>
      </c>
      <c r="AB23" s="33">
        <f>AB22</f>
        <v>95.5</v>
      </c>
      <c r="AC23" s="34"/>
      <c r="AD23" s="35"/>
      <c r="AE23" s="40"/>
      <c r="AF23" s="36" t="s">
        <v>40</v>
      </c>
      <c r="AG23" s="37">
        <f t="shared" si="5"/>
        <v>3.099269183922047</v>
      </c>
    </row>
    <row r="24" spans="1:33" ht="69.75" customHeight="1" thickBot="1" x14ac:dyDescent="0.55000000000000004">
      <c r="A24" s="43" t="s">
        <v>62</v>
      </c>
      <c r="B24" s="73">
        <v>1700</v>
      </c>
      <c r="C24" s="25">
        <f>1100-1-2-1-1-1</f>
        <v>1094</v>
      </c>
      <c r="D24" s="27"/>
      <c r="E24" s="27"/>
      <c r="F24" s="27"/>
      <c r="G24" s="28">
        <v>46051</v>
      </c>
      <c r="H24" s="29">
        <f>H8</f>
        <v>31</v>
      </c>
      <c r="I24" s="29">
        <f t="shared" si="12"/>
        <v>7</v>
      </c>
      <c r="J24" s="30" t="str">
        <f t="shared" si="12"/>
        <v xml:space="preserve">LAYER </v>
      </c>
      <c r="K24" s="31">
        <f t="shared" si="0"/>
        <v>136.75</v>
      </c>
      <c r="L24" s="31">
        <f t="shared" si="13"/>
        <v>125</v>
      </c>
      <c r="M24" s="31">
        <f t="shared" si="13"/>
        <v>113</v>
      </c>
      <c r="N24" s="31">
        <v>1994</v>
      </c>
      <c r="O24" s="31">
        <f t="shared" ref="O24" si="14">O23</f>
        <v>1858</v>
      </c>
      <c r="P24" s="31">
        <v>30</v>
      </c>
      <c r="Q24" s="31">
        <v>3</v>
      </c>
      <c r="R24" s="31">
        <v>15</v>
      </c>
      <c r="S24" s="31"/>
      <c r="T24" s="31"/>
      <c r="U24" s="31"/>
      <c r="V24" s="31"/>
      <c r="W24" s="31">
        <v>3</v>
      </c>
      <c r="X24" s="31"/>
      <c r="Y24" s="31">
        <f>+P24*30+Q24*30+R24+S24+U24+V24+W24+X24+T24</f>
        <v>1008</v>
      </c>
      <c r="Z24" s="31">
        <f>+Y24-'[1]2-9'!Y24</f>
        <v>1</v>
      </c>
      <c r="AA24" s="72">
        <f t="shared" ref="AA24:AA27" si="15">Y24/C24*100</f>
        <v>92.138939670932359</v>
      </c>
      <c r="AB24" s="33">
        <f t="shared" ref="AB24" si="16">AB23</f>
        <v>95.5</v>
      </c>
      <c r="AC24" s="34"/>
      <c r="AD24" s="35"/>
      <c r="AE24" s="40"/>
      <c r="AF24" s="36" t="s">
        <v>40</v>
      </c>
      <c r="AG24" s="37">
        <f t="shared" si="5"/>
        <v>-3.3610603290676409</v>
      </c>
    </row>
    <row r="25" spans="1:33" ht="69.75" customHeight="1" thickBot="1" x14ac:dyDescent="0.55000000000000004">
      <c r="A25" s="74"/>
      <c r="B25" s="75">
        <v>1700</v>
      </c>
      <c r="C25" s="76">
        <f>1675-2-1673</f>
        <v>0</v>
      </c>
      <c r="D25" s="77"/>
      <c r="E25" s="78"/>
      <c r="F25" s="78"/>
      <c r="G25" s="79"/>
      <c r="H25" s="80"/>
      <c r="I25" s="80"/>
      <c r="J25" s="81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>
        <f t="shared" si="1"/>
        <v>0</v>
      </c>
      <c r="Z25" s="31">
        <f>+Y25-'[1]2-9'!Y25</f>
        <v>0</v>
      </c>
      <c r="AA25" s="83" t="e">
        <f t="shared" si="15"/>
        <v>#DIV/0!</v>
      </c>
      <c r="AB25" s="84"/>
      <c r="AC25" s="85"/>
      <c r="AD25" s="86"/>
      <c r="AE25" s="40"/>
      <c r="AF25" s="36" t="s">
        <v>40</v>
      </c>
      <c r="AG25" s="37" t="e">
        <f t="shared" si="5"/>
        <v>#DIV/0!</v>
      </c>
    </row>
    <row r="26" spans="1:33" ht="69.75" customHeight="1" thickBot="1" x14ac:dyDescent="0.55000000000000004">
      <c r="A26" s="74"/>
      <c r="B26" s="75">
        <v>1700</v>
      </c>
      <c r="C26" s="76">
        <f>1668-3-1665</f>
        <v>0</v>
      </c>
      <c r="D26" s="77"/>
      <c r="E26" s="78"/>
      <c r="F26" s="78"/>
      <c r="G26" s="79"/>
      <c r="H26" s="80"/>
      <c r="I26" s="80"/>
      <c r="J26" s="81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>
        <f t="shared" si="1"/>
        <v>0</v>
      </c>
      <c r="Z26" s="31">
        <f>+Y26-'[1]2-9'!Y26</f>
        <v>0</v>
      </c>
      <c r="AA26" s="83" t="e">
        <f t="shared" si="15"/>
        <v>#DIV/0!</v>
      </c>
      <c r="AB26" s="84"/>
      <c r="AC26" s="85"/>
      <c r="AD26" s="86"/>
      <c r="AE26" s="40"/>
      <c r="AF26" s="36" t="s">
        <v>40</v>
      </c>
      <c r="AG26" s="37" t="e">
        <f t="shared" si="5"/>
        <v>#DIV/0!</v>
      </c>
    </row>
    <row r="27" spans="1:33" ht="69.75" customHeight="1" thickBot="1" x14ac:dyDescent="0.55000000000000004">
      <c r="A27" s="74"/>
      <c r="B27" s="75">
        <v>1700</v>
      </c>
      <c r="C27" s="76">
        <f>1663-1-1-1-900-760</f>
        <v>0</v>
      </c>
      <c r="D27" s="77"/>
      <c r="E27" s="78"/>
      <c r="F27" s="78"/>
      <c r="G27" s="79"/>
      <c r="H27" s="80"/>
      <c r="I27" s="80"/>
      <c r="J27" s="81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>
        <f t="shared" si="1"/>
        <v>0</v>
      </c>
      <c r="Z27" s="31">
        <f>+Y27-'[1]2-9'!Y27</f>
        <v>0</v>
      </c>
      <c r="AA27" s="83" t="e">
        <f t="shared" si="15"/>
        <v>#DIV/0!</v>
      </c>
      <c r="AB27" s="84"/>
      <c r="AC27" s="85"/>
      <c r="AD27" s="86"/>
      <c r="AE27" s="40"/>
      <c r="AF27" s="36" t="s">
        <v>40</v>
      </c>
      <c r="AG27" s="37" t="e">
        <f t="shared" si="5"/>
        <v>#DIV/0!</v>
      </c>
    </row>
    <row r="28" spans="1:33" ht="69.75" customHeight="1" thickBot="1" x14ac:dyDescent="0.55000000000000004">
      <c r="A28" s="74"/>
      <c r="B28" s="75">
        <v>1700</v>
      </c>
      <c r="C28" s="76">
        <f>1648-2-2-500-1140-4</f>
        <v>0</v>
      </c>
      <c r="D28" s="77"/>
      <c r="E28" s="78"/>
      <c r="F28" s="78"/>
      <c r="G28" s="79"/>
      <c r="H28" s="80"/>
      <c r="I28" s="80"/>
      <c r="J28" s="81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>
        <f t="shared" si="1"/>
        <v>0</v>
      </c>
      <c r="Z28" s="31">
        <f>+Y28-'[1]2-9'!Y28</f>
        <v>0</v>
      </c>
      <c r="AA28" s="83" t="e">
        <f>Y28/C28*100</f>
        <v>#DIV/0!</v>
      </c>
      <c r="AB28" s="84"/>
      <c r="AC28" s="85"/>
      <c r="AD28" s="86"/>
      <c r="AE28" s="87"/>
      <c r="AF28" s="88" t="s">
        <v>40</v>
      </c>
      <c r="AG28" s="37" t="e">
        <f t="shared" si="5"/>
        <v>#DIV/0!</v>
      </c>
    </row>
    <row r="29" spans="1:33" ht="21" customHeight="1" thickBot="1" x14ac:dyDescent="0.55000000000000004">
      <c r="A29" s="89" t="s">
        <v>63</v>
      </c>
      <c r="B29" s="90"/>
      <c r="C29" s="25">
        <f>236+1464-3-1</f>
        <v>1696</v>
      </c>
      <c r="D29" s="91">
        <f>SUM(D6:D28)</f>
        <v>5</v>
      </c>
      <c r="E29" s="91">
        <f>SUM(E6:E22)</f>
        <v>0</v>
      </c>
      <c r="F29" s="91">
        <f>SUM(F6:F22)</f>
        <v>0</v>
      </c>
      <c r="G29" s="91"/>
      <c r="H29" s="91"/>
      <c r="I29" s="91"/>
      <c r="J29" s="91">
        <f>SUM(J17)</f>
        <v>0</v>
      </c>
      <c r="K29" s="91">
        <f>SUM(K6:K28)</f>
        <v>5697.8520000000008</v>
      </c>
      <c r="L29" s="92"/>
      <c r="M29" s="92"/>
      <c r="N29" s="93"/>
      <c r="O29" s="92"/>
      <c r="P29" s="94">
        <f>SUM(P6:P28)*30</f>
        <v>36000</v>
      </c>
      <c r="Q29" s="94">
        <f>SUM(Q6:Q28)*30</f>
        <v>6390</v>
      </c>
      <c r="R29" s="94">
        <f>SUM(R6:R28)</f>
        <v>198</v>
      </c>
      <c r="S29" s="94">
        <f t="shared" ref="S29:X29" si="17">SUM(S6:S28)</f>
        <v>0</v>
      </c>
      <c r="T29" s="94">
        <f t="shared" si="17"/>
        <v>19</v>
      </c>
      <c r="U29" s="94">
        <f t="shared" si="17"/>
        <v>0</v>
      </c>
      <c r="V29" s="94">
        <f t="shared" si="17"/>
        <v>3</v>
      </c>
      <c r="W29" s="94">
        <f t="shared" si="17"/>
        <v>209</v>
      </c>
      <c r="X29" s="94">
        <f t="shared" si="17"/>
        <v>15</v>
      </c>
      <c r="Y29" s="31">
        <f>SUM(P29:X29)</f>
        <v>42834</v>
      </c>
      <c r="Z29" s="31">
        <f>+Y29-'[1]2-9'!Y29</f>
        <v>48</v>
      </c>
      <c r="AA29" s="33"/>
      <c r="AB29" s="95"/>
      <c r="AC29" s="96"/>
      <c r="AD29" s="15"/>
      <c r="AE29" s="3"/>
      <c r="AF29" s="4"/>
      <c r="AG29" s="3"/>
    </row>
    <row r="30" spans="1:33" ht="21" customHeight="1" thickBot="1" x14ac:dyDescent="0.55000000000000004">
      <c r="A30" s="97" t="s">
        <v>64</v>
      </c>
      <c r="B30" s="14"/>
      <c r="C30" s="14"/>
      <c r="D30" s="15"/>
      <c r="E30" s="98">
        <f>SUM(K6:K28)</f>
        <v>5697.8520000000008</v>
      </c>
      <c r="F30" s="14"/>
      <c r="G30" s="99"/>
      <c r="H30" s="99"/>
      <c r="I30" s="99"/>
      <c r="J30" s="99"/>
      <c r="K30" s="99"/>
      <c r="L30" s="99"/>
      <c r="M30" s="100"/>
      <c r="N30" s="92"/>
      <c r="O30" s="99"/>
      <c r="P30" s="99">
        <f>+P29/30</f>
        <v>1200</v>
      </c>
      <c r="Q30" s="99">
        <f>+Q29/30</f>
        <v>213</v>
      </c>
      <c r="R30" s="101"/>
      <c r="S30" s="99"/>
      <c r="T30" s="99"/>
      <c r="U30" s="99"/>
      <c r="V30" s="99"/>
      <c r="W30" s="99"/>
      <c r="X30" s="99"/>
      <c r="Y30" s="102">
        <f>+Y29/300</f>
        <v>142.78</v>
      </c>
      <c r="Z30" s="31">
        <f>+Y30-'[1]2-9'!Y30</f>
        <v>0.15999999999999659</v>
      </c>
      <c r="AA30" s="103">
        <f>SUM(Y6:Y23)/C29*100</f>
        <v>2466.1556603773583</v>
      </c>
      <c r="AB30" s="99"/>
      <c r="AC30" s="104"/>
      <c r="AD30" s="15"/>
      <c r="AE30" s="3"/>
      <c r="AF30" s="4"/>
      <c r="AG30" s="3"/>
    </row>
    <row r="31" spans="1:33" ht="21" customHeight="1" thickBot="1" x14ac:dyDescent="0.55000000000000004">
      <c r="A31" s="105" t="s">
        <v>65</v>
      </c>
      <c r="B31" s="14"/>
      <c r="C31" s="14"/>
      <c r="D31" s="15"/>
      <c r="E31" s="98">
        <f>SUM(B6:B28)</f>
        <v>64948</v>
      </c>
      <c r="F31" s="14"/>
      <c r="G31" s="99"/>
      <c r="H31" s="99"/>
      <c r="I31" s="99"/>
      <c r="J31" s="99"/>
      <c r="K31" s="99"/>
      <c r="L31" s="99"/>
      <c r="M31" s="99"/>
      <c r="N31" s="92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31"/>
      <c r="AA31" s="99"/>
      <c r="AB31" s="99"/>
      <c r="AC31" s="106"/>
      <c r="AD31" s="15"/>
      <c r="AE31" s="3"/>
      <c r="AF31" s="4"/>
      <c r="AG31" s="3"/>
    </row>
    <row r="32" spans="1:33" ht="21" customHeight="1" thickBot="1" x14ac:dyDescent="0.5">
      <c r="A32" s="97" t="s">
        <v>66</v>
      </c>
      <c r="B32" s="14"/>
      <c r="C32" s="14"/>
      <c r="D32" s="15"/>
      <c r="E32" s="98">
        <f>SUM(C6:C28)</f>
        <v>45785</v>
      </c>
      <c r="F32" s="14"/>
      <c r="G32" s="107"/>
      <c r="H32" s="99"/>
      <c r="I32" s="99"/>
      <c r="J32" s="99"/>
      <c r="K32" s="99"/>
      <c r="L32" s="99"/>
      <c r="M32" s="99"/>
      <c r="N32" s="92"/>
      <c r="O32" s="99"/>
      <c r="P32" s="99"/>
      <c r="Q32" s="99"/>
      <c r="R32" s="101"/>
      <c r="S32" s="99"/>
      <c r="T32" s="99"/>
      <c r="U32" s="99"/>
      <c r="V32" s="99"/>
      <c r="W32" s="99"/>
      <c r="X32" s="99"/>
      <c r="Y32" s="99"/>
      <c r="Z32" s="31"/>
      <c r="AA32" s="99"/>
      <c r="AB32" s="99"/>
      <c r="AC32" s="105"/>
      <c r="AD32" s="15"/>
      <c r="AE32" s="3"/>
      <c r="AF32" s="4"/>
      <c r="AG32" s="3"/>
    </row>
    <row r="33" spans="1:133" ht="21" customHeight="1" thickBot="1" x14ac:dyDescent="0.5">
      <c r="A33" s="99" t="s">
        <v>67</v>
      </c>
      <c r="B33" s="99"/>
      <c r="C33" s="99"/>
      <c r="D33" s="99"/>
      <c r="E33" s="99"/>
      <c r="F33" s="99"/>
      <c r="G33" s="108">
        <f>+Y29/C29*100</f>
        <v>2525.5896226415093</v>
      </c>
      <c r="H33" s="109"/>
      <c r="I33" s="109"/>
      <c r="J33" s="109"/>
      <c r="K33" s="110"/>
      <c r="L33" s="109"/>
      <c r="M33" s="109"/>
      <c r="N33" s="92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111"/>
      <c r="AA33" s="105"/>
      <c r="AB33" s="15"/>
      <c r="AC33" s="105"/>
      <c r="AD33" s="15"/>
      <c r="AE33" s="3"/>
      <c r="AF33" s="4"/>
      <c r="AG33" s="3"/>
    </row>
    <row r="34" spans="1:133" ht="21" customHeight="1" thickBot="1" x14ac:dyDescent="0.5">
      <c r="A34" s="99" t="s">
        <v>68</v>
      </c>
      <c r="B34" s="99"/>
      <c r="C34" s="99"/>
      <c r="D34" s="99"/>
      <c r="E34" s="99"/>
      <c r="F34" s="99"/>
      <c r="G34" s="112">
        <f>Y30/N40*100</f>
        <v>0.31184885879654911</v>
      </c>
      <c r="H34" s="109"/>
      <c r="I34" s="109" t="s">
        <v>69</v>
      </c>
      <c r="J34" s="109"/>
      <c r="K34" s="110"/>
      <c r="L34" s="109"/>
      <c r="M34" s="109" t="s">
        <v>70</v>
      </c>
      <c r="N34" s="92"/>
      <c r="O34" s="99"/>
      <c r="P34" s="107"/>
      <c r="Q34" s="99"/>
      <c r="R34" s="99"/>
      <c r="S34" s="99"/>
      <c r="T34" s="99"/>
      <c r="U34" s="99"/>
      <c r="V34" s="99"/>
      <c r="W34" s="99"/>
      <c r="X34" s="99"/>
      <c r="Y34" s="99"/>
      <c r="Z34" s="111"/>
      <c r="AA34" s="105"/>
      <c r="AB34" s="15"/>
      <c r="AC34" s="105"/>
      <c r="AD34" s="15"/>
      <c r="AE34" s="3"/>
      <c r="AF34" s="4"/>
      <c r="AG34" s="3"/>
    </row>
    <row r="35" spans="1:133" ht="21" customHeight="1" x14ac:dyDescent="0.45">
      <c r="A35" s="9"/>
      <c r="B35" s="9"/>
      <c r="C35" s="9"/>
      <c r="D35" s="9"/>
      <c r="E35" s="9"/>
      <c r="F35" s="9"/>
      <c r="G35" s="9"/>
      <c r="H35" s="113"/>
      <c r="I35" s="113"/>
      <c r="J35" s="113"/>
      <c r="K35" s="113"/>
      <c r="L35" s="113"/>
      <c r="M35" s="113"/>
      <c r="N35" s="10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14"/>
      <c r="AA35" s="9"/>
      <c r="AB35" s="9"/>
      <c r="AC35" s="9"/>
      <c r="AD35" s="9"/>
      <c r="AE35" s="3"/>
      <c r="AF35" s="4"/>
      <c r="AG35" s="3"/>
    </row>
    <row r="36" spans="1:133" ht="21" customHeight="1" x14ac:dyDescent="0.45">
      <c r="A36" s="115" t="s">
        <v>71</v>
      </c>
      <c r="B36" s="115"/>
      <c r="C36" s="115"/>
      <c r="D36" s="116">
        <f>+K29</f>
        <v>5697.8520000000008</v>
      </c>
      <c r="E36" s="2"/>
      <c r="F36" s="9"/>
      <c r="G36" s="117" t="s">
        <v>72</v>
      </c>
      <c r="H36" s="2"/>
      <c r="I36" s="2"/>
      <c r="J36" s="2"/>
      <c r="K36" s="2"/>
      <c r="L36" s="2"/>
      <c r="M36" s="2"/>
      <c r="N36" s="118">
        <f>+C14+C15+C16</f>
        <v>65</v>
      </c>
      <c r="O36" s="2"/>
      <c r="P36" s="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9"/>
      <c r="AD36" s="9"/>
      <c r="AE36" s="3"/>
      <c r="AF36" s="4"/>
      <c r="AG36" s="3"/>
    </row>
    <row r="37" spans="1:133" ht="21" customHeight="1" x14ac:dyDescent="0.45">
      <c r="A37" s="120" t="s">
        <v>73</v>
      </c>
      <c r="B37" s="121"/>
      <c r="C37" s="121"/>
      <c r="D37" s="122">
        <v>0</v>
      </c>
      <c r="E37" s="2"/>
      <c r="F37" s="9"/>
      <c r="G37" s="123" t="s">
        <v>74</v>
      </c>
      <c r="H37" s="2"/>
      <c r="I37" s="2"/>
      <c r="J37" s="2"/>
      <c r="K37" s="2"/>
      <c r="L37" s="2"/>
      <c r="M37" s="2"/>
      <c r="N37" s="124">
        <f>+C6+C7+C8+C9+C10+C11+C12+C13+C17+C18+C19+C20+C21+C22+C23+C24</f>
        <v>45720</v>
      </c>
      <c r="O37" s="2"/>
      <c r="P37" s="9" t="s">
        <v>75</v>
      </c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 t="s">
        <v>76</v>
      </c>
      <c r="AB37" s="119"/>
      <c r="AC37" s="9"/>
      <c r="AD37" s="9"/>
      <c r="AE37" s="3"/>
      <c r="AF37" s="4"/>
      <c r="AG37" s="3"/>
    </row>
    <row r="38" spans="1:133" ht="21" customHeight="1" x14ac:dyDescent="0.45">
      <c r="A38" s="120" t="s">
        <v>77</v>
      </c>
      <c r="B38" s="121"/>
      <c r="C38" s="121"/>
      <c r="D38" s="122">
        <v>0</v>
      </c>
      <c r="E38" s="122"/>
      <c r="F38" s="9"/>
      <c r="G38" s="125" t="s">
        <v>78</v>
      </c>
      <c r="H38" s="126"/>
      <c r="I38" s="126"/>
      <c r="J38" s="126"/>
      <c r="K38" s="126"/>
      <c r="L38" s="126"/>
      <c r="M38" s="126"/>
      <c r="N38" s="127">
        <v>0</v>
      </c>
      <c r="O38" s="127"/>
      <c r="P38" s="9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9"/>
      <c r="AD38" s="9"/>
      <c r="AE38" s="3"/>
      <c r="AF38" s="4"/>
      <c r="AG38" s="3"/>
    </row>
    <row r="39" spans="1:133" ht="21" customHeight="1" x14ac:dyDescent="0.45">
      <c r="A39" s="128" t="s">
        <v>79</v>
      </c>
      <c r="B39" s="128"/>
      <c r="C39" s="128"/>
      <c r="D39" s="129"/>
      <c r="E39" s="2"/>
      <c r="F39" s="9"/>
      <c r="G39" s="130" t="s">
        <v>80</v>
      </c>
      <c r="H39" s="2"/>
      <c r="I39" s="2"/>
      <c r="J39" s="2"/>
      <c r="K39" s="2"/>
      <c r="L39" s="2"/>
      <c r="M39" s="2"/>
      <c r="N39" s="131">
        <f>+N36+N37+N38</f>
        <v>45785</v>
      </c>
      <c r="O39" s="2"/>
      <c r="P39" s="132">
        <f>9360+N39</f>
        <v>55145</v>
      </c>
      <c r="Q39" s="9"/>
      <c r="R39" s="9"/>
      <c r="S39" s="9"/>
      <c r="T39" s="9"/>
      <c r="U39" s="119" t="s">
        <v>81</v>
      </c>
      <c r="V39" s="119"/>
      <c r="W39" s="119"/>
      <c r="X39" s="119"/>
      <c r="Y39" s="9"/>
      <c r="Z39" s="9"/>
      <c r="AA39" s="119"/>
      <c r="AB39" s="119"/>
      <c r="AC39" s="9"/>
      <c r="AD39" s="9"/>
      <c r="AE39" s="3"/>
      <c r="AF39" s="4"/>
      <c r="AG39" s="3"/>
    </row>
    <row r="40" spans="1:133" ht="21" customHeight="1" x14ac:dyDescent="0.45">
      <c r="A40" s="9" t="s">
        <v>82</v>
      </c>
      <c r="B40" s="9"/>
      <c r="C40" s="9"/>
      <c r="D40" s="133">
        <v>0</v>
      </c>
      <c r="E40" s="133"/>
      <c r="F40" s="9"/>
      <c r="G40" s="134" t="s">
        <v>83</v>
      </c>
      <c r="H40" s="2"/>
      <c r="I40" s="2"/>
      <c r="J40" s="2"/>
      <c r="K40" s="2"/>
      <c r="L40" s="2"/>
      <c r="M40" s="2"/>
      <c r="N40" s="135">
        <f>+'3-9'!C6+'3-9'!C7+'3-9'!C8+'3-9'!C9+'3-9'!C10+'3-9'!C11+'3-9'!C12+'3-9'!C13+'3-9'!C14+'3-9'!C15+'3-9'!C16+'3-9'!C17+'3-9'!C18+'3-9'!C19+'3-9'!C20+'3-9'!C21+'3-9'!C22+'3-9'!C23+'3-9'!C24</f>
        <v>45785</v>
      </c>
      <c r="O40" s="2"/>
      <c r="P40" s="136"/>
      <c r="Q40" s="9"/>
      <c r="R40" s="137"/>
      <c r="S40" s="9"/>
      <c r="T40" s="9"/>
      <c r="U40" s="9"/>
      <c r="V40" s="9"/>
      <c r="W40" s="9"/>
      <c r="X40" s="9"/>
      <c r="Y40" s="136"/>
      <c r="Z40" s="136"/>
      <c r="AA40" s="136"/>
      <c r="AB40" s="9"/>
      <c r="AC40" s="9"/>
      <c r="AD40" s="9"/>
      <c r="AE40" s="3"/>
      <c r="AF40" s="4"/>
      <c r="AG40" s="3"/>
    </row>
    <row r="41" spans="1:133" ht="25.8" x14ac:dyDescent="0.45">
      <c r="A41" s="117" t="s">
        <v>84</v>
      </c>
      <c r="B41" s="2"/>
      <c r="C41" s="2"/>
      <c r="D41" s="138">
        <f>+Y14+Y15+Y16</f>
        <v>0</v>
      </c>
      <c r="E41" s="2"/>
      <c r="F41" s="2"/>
      <c r="G41" s="139" t="s">
        <v>85</v>
      </c>
      <c r="H41" s="138">
        <f>+D41-0</f>
        <v>0</v>
      </c>
      <c r="I41" s="2"/>
      <c r="J41" s="2"/>
      <c r="K41" s="140" t="s">
        <v>86</v>
      </c>
      <c r="L41" s="140"/>
      <c r="M41" s="140"/>
      <c r="N41" s="10"/>
      <c r="O41" s="9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9"/>
      <c r="AE41" s="3"/>
      <c r="AF41" s="4"/>
      <c r="AG41" s="3"/>
    </row>
    <row r="42" spans="1:133" ht="25.8" x14ac:dyDescent="0.45">
      <c r="A42" s="142" t="s">
        <v>87</v>
      </c>
      <c r="B42" s="2"/>
      <c r="C42" s="2"/>
      <c r="D42" s="143">
        <f>+Y8+Y9+Y10+Y11+Y12+Y22+Y23+Y24+Y25+Y26+Y27+Y28+Y6+Y7+Y13</f>
        <v>36428</v>
      </c>
      <c r="E42" s="143"/>
      <c r="F42" s="143"/>
      <c r="G42" s="144" t="s">
        <v>88</v>
      </c>
      <c r="H42" s="145">
        <f>+D42-36349</f>
        <v>79</v>
      </c>
      <c r="I42" s="2"/>
      <c r="J42" s="2"/>
      <c r="K42" s="146" t="s">
        <v>86</v>
      </c>
      <c r="L42" s="146"/>
      <c r="M42" s="147"/>
      <c r="N42" s="10"/>
      <c r="O42" s="9"/>
      <c r="P42" s="148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3"/>
      <c r="AF42" s="4"/>
      <c r="AG42" s="3"/>
    </row>
    <row r="43" spans="1:133" ht="25.8" x14ac:dyDescent="0.45">
      <c r="A43" s="149" t="s">
        <v>89</v>
      </c>
      <c r="B43" s="150"/>
      <c r="C43" s="150"/>
      <c r="D43" s="151">
        <f>SUM(Y17:Y21)</f>
        <v>6406</v>
      </c>
      <c r="E43" s="150"/>
      <c r="F43" s="150"/>
      <c r="G43" s="152" t="s">
        <v>85</v>
      </c>
      <c r="H43" s="151">
        <f>+D43-6437</f>
        <v>-31</v>
      </c>
      <c r="I43" s="151"/>
      <c r="J43" s="151"/>
      <c r="K43" s="153" t="s">
        <v>86</v>
      </c>
      <c r="L43" s="153"/>
      <c r="M43" s="153"/>
      <c r="N43" s="10"/>
      <c r="O43" s="9"/>
      <c r="P43" s="119" t="s">
        <v>75</v>
      </c>
      <c r="Q43" s="119"/>
      <c r="R43" s="119"/>
      <c r="S43" s="119"/>
      <c r="T43" s="119"/>
      <c r="U43" s="119"/>
      <c r="V43" s="119"/>
      <c r="W43" s="119"/>
      <c r="X43" s="119"/>
      <c r="Y43" s="119"/>
      <c r="Z43" s="9"/>
      <c r="AA43" s="9"/>
      <c r="AB43" s="9"/>
      <c r="AC43" s="9"/>
      <c r="AD43" s="9"/>
      <c r="AE43" s="3"/>
      <c r="AF43" s="4"/>
      <c r="AG43" s="3"/>
    </row>
    <row r="44" spans="1:133" ht="25.5" customHeight="1" x14ac:dyDescent="0.5">
      <c r="A44" s="134" t="s">
        <v>90</v>
      </c>
      <c r="B44" s="2"/>
      <c r="C44" s="2"/>
      <c r="D44" s="154">
        <f>SUM(D41:F43)</f>
        <v>42834</v>
      </c>
      <c r="E44" s="2"/>
      <c r="F44" s="2"/>
      <c r="G44" s="144" t="s">
        <v>88</v>
      </c>
      <c r="H44" s="145">
        <f>SUM(H41:J43)</f>
        <v>48</v>
      </c>
      <c r="I44" s="2"/>
      <c r="J44" s="2"/>
      <c r="K44" s="155" t="s">
        <v>86</v>
      </c>
      <c r="L44" s="155"/>
      <c r="M44" s="155"/>
      <c r="N44" s="10"/>
      <c r="O44" s="156"/>
      <c r="P44" s="157" t="str">
        <f>+A3</f>
        <v>HARI/TANGGAL : KAMIS, 3 SEPTEMBER 2026 (3 ALUR)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158"/>
      <c r="AE44" s="3"/>
      <c r="AF44" s="4"/>
      <c r="AG44" s="3"/>
      <c r="EC44" s="5" t="s">
        <v>91</v>
      </c>
    </row>
    <row r="45" spans="1:133" ht="21" customHeight="1" x14ac:dyDescent="0.5">
      <c r="A45" s="156" t="s">
        <v>92</v>
      </c>
      <c r="B45" s="156"/>
      <c r="C45" s="156"/>
      <c r="D45" s="159">
        <f>+SUM(D6:D22)</f>
        <v>5</v>
      </c>
      <c r="E45" s="156"/>
      <c r="F45" s="156"/>
      <c r="G45" s="156" t="s">
        <v>85</v>
      </c>
      <c r="H45" s="156"/>
      <c r="I45" s="156"/>
      <c r="J45" s="156"/>
      <c r="K45" s="156"/>
      <c r="L45" s="9"/>
      <c r="M45" s="9"/>
      <c r="N45" s="10"/>
      <c r="O45" s="9"/>
      <c r="P45" s="9"/>
      <c r="Q45" s="9" t="s">
        <v>93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3"/>
      <c r="AF45" s="4"/>
      <c r="AG45" s="3"/>
    </row>
    <row r="46" spans="1:133" ht="21" customHeight="1" x14ac:dyDescent="0.5">
      <c r="A46" s="160" t="s">
        <v>94</v>
      </c>
      <c r="B46" s="160"/>
      <c r="C46" s="156"/>
      <c r="D46" s="159"/>
      <c r="E46" s="156"/>
      <c r="F46" s="156"/>
      <c r="G46" s="161"/>
      <c r="H46" s="156"/>
      <c r="I46" s="156"/>
      <c r="J46" s="161"/>
      <c r="K46" s="156"/>
      <c r="L46" s="9"/>
      <c r="M46" s="162"/>
      <c r="N46" s="10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3"/>
      <c r="AF46" s="4"/>
      <c r="AG46" s="3"/>
    </row>
    <row r="47" spans="1:133" ht="21" customHeight="1" x14ac:dyDescent="0.5">
      <c r="A47" s="160" t="s">
        <v>95</v>
      </c>
      <c r="B47" s="160"/>
      <c r="C47" s="156"/>
      <c r="D47" s="159">
        <f>+SUM(E8:E17)</f>
        <v>0</v>
      </c>
      <c r="E47" s="156"/>
      <c r="F47" s="156"/>
      <c r="G47" s="161"/>
      <c r="H47" s="156"/>
      <c r="I47" s="156"/>
      <c r="J47" s="156"/>
      <c r="K47" s="156"/>
      <c r="L47" s="9"/>
      <c r="M47" s="9"/>
      <c r="N47" s="10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3"/>
      <c r="AF47" s="4"/>
      <c r="AG47" s="3"/>
    </row>
    <row r="48" spans="1:133" ht="21" customHeight="1" x14ac:dyDescent="0.3">
      <c r="AE48" s="3"/>
      <c r="AF48" s="4"/>
      <c r="AG48" s="3"/>
    </row>
    <row r="49" spans="1:33" ht="21" customHeight="1" x14ac:dyDescent="0.3">
      <c r="A49" s="3"/>
      <c r="B49" s="3"/>
      <c r="C49" s="3"/>
      <c r="D49" s="163" t="s">
        <v>96</v>
      </c>
      <c r="E49" s="163"/>
      <c r="F49" s="163"/>
      <c r="G49" s="163"/>
      <c r="H49" s="163"/>
      <c r="I49" s="163"/>
      <c r="J49" s="163"/>
      <c r="K49" s="16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4"/>
      <c r="AG49" s="3"/>
    </row>
    <row r="50" spans="1:33" ht="21" customHeight="1" x14ac:dyDescent="0.3">
      <c r="A50" s="3"/>
      <c r="B50" s="3"/>
      <c r="C50" s="3"/>
      <c r="D50" s="163"/>
      <c r="E50" s="163"/>
      <c r="F50" s="163"/>
      <c r="G50" s="163"/>
      <c r="H50" s="163"/>
      <c r="I50" s="163"/>
      <c r="J50" s="163"/>
      <c r="K50" s="16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4"/>
      <c r="AG50" s="3"/>
    </row>
    <row r="51" spans="1:33" ht="21" customHeight="1" x14ac:dyDescent="0.3">
      <c r="A51" s="3"/>
      <c r="B51" s="3"/>
      <c r="C51" s="3"/>
      <c r="D51" s="163"/>
      <c r="E51" s="163"/>
      <c r="F51" s="163"/>
      <c r="G51" s="163"/>
      <c r="H51" s="163"/>
      <c r="I51" s="163"/>
      <c r="J51" s="163"/>
      <c r="K51" s="16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4"/>
      <c r="AG51" s="3"/>
    </row>
    <row r="52" spans="1:33" ht="21" customHeight="1" x14ac:dyDescent="0.3">
      <c r="A52" s="3"/>
      <c r="B52" s="3"/>
      <c r="C52" s="3"/>
      <c r="D52" s="163"/>
      <c r="E52" s="163"/>
      <c r="F52" s="163"/>
      <c r="G52" s="163"/>
      <c r="H52" s="163"/>
      <c r="I52" s="163"/>
      <c r="J52" s="163"/>
      <c r="K52" s="16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4"/>
      <c r="AG52" s="3"/>
    </row>
    <row r="53" spans="1:33" ht="21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4"/>
      <c r="AG53" s="3"/>
    </row>
    <row r="54" spans="1:33" ht="21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4"/>
      <c r="AG54" s="3"/>
    </row>
    <row r="55" spans="1:33" ht="21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 t="s">
        <v>97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4"/>
      <c r="AG55" s="3"/>
    </row>
    <row r="56" spans="1:33" ht="21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4"/>
      <c r="AG56" s="3"/>
    </row>
    <row r="57" spans="1:33" ht="21" customHeight="1" x14ac:dyDescent="0.3">
      <c r="A57" s="3"/>
      <c r="B57" s="3"/>
      <c r="C57" s="3"/>
      <c r="D57" s="3"/>
      <c r="E57" s="3"/>
      <c r="F57" s="3"/>
      <c r="G57" s="3"/>
      <c r="H57" s="16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4"/>
      <c r="AG57" s="3"/>
    </row>
    <row r="58" spans="1:33" ht="21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4"/>
      <c r="AG58" s="3"/>
    </row>
    <row r="59" spans="1:33" ht="21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4"/>
      <c r="AG59" s="3"/>
    </row>
    <row r="60" spans="1:33" ht="21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4"/>
      <c r="AG60" s="3"/>
    </row>
    <row r="61" spans="1:33" ht="21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4"/>
      <c r="AG61" s="3"/>
    </row>
    <row r="62" spans="1:33" ht="21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f>77*30</f>
        <v>2310</v>
      </c>
      <c r="AA62" s="3"/>
      <c r="AB62" s="3"/>
      <c r="AC62" s="3"/>
      <c r="AD62" s="3"/>
      <c r="AE62" s="3"/>
      <c r="AF62" s="4"/>
      <c r="AG62" s="3"/>
    </row>
    <row r="63" spans="1:33" ht="21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4"/>
      <c r="AG63" s="3"/>
    </row>
    <row r="64" spans="1:33" ht="21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4"/>
      <c r="AG64" s="3"/>
    </row>
    <row r="65" spans="1:33" ht="21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4"/>
      <c r="AG65" s="3"/>
    </row>
    <row r="66" spans="1:33" ht="21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4"/>
      <c r="AG66" s="3"/>
    </row>
    <row r="67" spans="1:33" ht="21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4"/>
      <c r="AG67" s="3"/>
    </row>
    <row r="68" spans="1:33" ht="21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4"/>
      <c r="AG68" s="3"/>
    </row>
    <row r="69" spans="1:33" ht="21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4"/>
      <c r="AG69" s="3"/>
    </row>
    <row r="70" spans="1:33" ht="21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4"/>
      <c r="AG70" s="3"/>
    </row>
    <row r="71" spans="1:33" ht="21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4"/>
      <c r="AG71" s="3"/>
    </row>
    <row r="72" spans="1:33" ht="21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4"/>
      <c r="AG72" s="3"/>
    </row>
    <row r="73" spans="1:33" ht="21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4"/>
      <c r="AG73" s="3"/>
    </row>
    <row r="74" spans="1:33" ht="21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4"/>
      <c r="AG74" s="3"/>
    </row>
    <row r="75" spans="1:33" ht="21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4"/>
      <c r="AG75" s="3"/>
    </row>
    <row r="76" spans="1:33" ht="21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4"/>
      <c r="AG76" s="3"/>
    </row>
    <row r="77" spans="1:33" ht="21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4"/>
      <c r="AG77" s="3"/>
    </row>
    <row r="78" spans="1:33" ht="21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4"/>
      <c r="AG78" s="3"/>
    </row>
    <row r="79" spans="1:33" ht="21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4"/>
      <c r="AG79" s="3"/>
    </row>
    <row r="80" spans="1:33" ht="21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4"/>
      <c r="AG80" s="3"/>
    </row>
    <row r="81" spans="1:33" ht="21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4"/>
      <c r="AG81" s="3"/>
    </row>
    <row r="82" spans="1:33" ht="21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4"/>
      <c r="AG82" s="3"/>
    </row>
    <row r="83" spans="1:33" ht="21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4"/>
      <c r="AG83" s="3"/>
    </row>
    <row r="84" spans="1:33" ht="21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4"/>
      <c r="AG84" s="3"/>
    </row>
    <row r="85" spans="1:33" ht="21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4"/>
      <c r="AG85" s="3"/>
    </row>
    <row r="86" spans="1:33" ht="21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4"/>
      <c r="AG86" s="3"/>
    </row>
    <row r="87" spans="1:33" ht="21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4"/>
      <c r="AG87" s="3"/>
    </row>
    <row r="88" spans="1:33" ht="21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4"/>
      <c r="AG88" s="3"/>
    </row>
    <row r="89" spans="1:33" ht="21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4"/>
      <c r="AG89" s="3"/>
    </row>
    <row r="90" spans="1:33" ht="21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4"/>
      <c r="AG90" s="3"/>
    </row>
    <row r="91" spans="1:33" ht="21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4"/>
      <c r="AG91" s="3"/>
    </row>
    <row r="92" spans="1:33" ht="21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4"/>
      <c r="AG92" s="3"/>
    </row>
    <row r="93" spans="1:33" ht="21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4"/>
      <c r="AG93" s="3"/>
    </row>
    <row r="94" spans="1:33" ht="21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4"/>
      <c r="AG94" s="3"/>
    </row>
    <row r="95" spans="1:33" ht="21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4"/>
      <c r="AG95" s="3"/>
    </row>
    <row r="96" spans="1:33" ht="21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4"/>
      <c r="AG96" s="3"/>
    </row>
    <row r="97" spans="1:33" ht="21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4"/>
      <c r="AG97" s="3"/>
    </row>
    <row r="98" spans="1:33" ht="21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4"/>
      <c r="AG98" s="3"/>
    </row>
    <row r="99" spans="1:33" ht="21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4"/>
      <c r="AG99" s="3"/>
    </row>
    <row r="100" spans="1:33" ht="21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4"/>
      <c r="AG100" s="3"/>
    </row>
    <row r="101" spans="1:33" ht="21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4"/>
      <c r="AG101" s="3"/>
    </row>
    <row r="102" spans="1:33" ht="21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4"/>
      <c r="AG102" s="3"/>
    </row>
    <row r="103" spans="1:33" ht="21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4"/>
      <c r="AG103" s="3"/>
    </row>
    <row r="104" spans="1:33" ht="21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4"/>
      <c r="AG104" s="3"/>
    </row>
    <row r="105" spans="1:33" ht="21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4"/>
      <c r="AG105" s="3"/>
    </row>
    <row r="106" spans="1:33" ht="21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4"/>
      <c r="AG106" s="3"/>
    </row>
    <row r="107" spans="1:33" ht="21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4"/>
      <c r="AG107" s="3"/>
    </row>
    <row r="108" spans="1:33" ht="21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4"/>
      <c r="AG108" s="3"/>
    </row>
    <row r="109" spans="1:33" ht="21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4"/>
      <c r="AG109" s="3"/>
    </row>
    <row r="110" spans="1:33" ht="21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4"/>
      <c r="AG110" s="3"/>
    </row>
    <row r="111" spans="1:33" ht="21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4"/>
      <c r="AG111" s="3"/>
    </row>
  </sheetData>
  <mergeCells count="87">
    <mergeCell ref="D49:K52"/>
    <mergeCell ref="A44:C44"/>
    <mergeCell ref="D44:F44"/>
    <mergeCell ref="H44:J44"/>
    <mergeCell ref="P44:AC44"/>
    <mergeCell ref="A46:B46"/>
    <mergeCell ref="A47:B47"/>
    <mergeCell ref="A42:C42"/>
    <mergeCell ref="D42:F42"/>
    <mergeCell ref="H42:J42"/>
    <mergeCell ref="P42:AD42"/>
    <mergeCell ref="A43:C43"/>
    <mergeCell ref="D43:F43"/>
    <mergeCell ref="H43:J43"/>
    <mergeCell ref="P43:Y43"/>
    <mergeCell ref="U39:X39"/>
    <mergeCell ref="AA39:AB39"/>
    <mergeCell ref="D40:E40"/>
    <mergeCell ref="G40:M40"/>
    <mergeCell ref="N40:O40"/>
    <mergeCell ref="A41:C41"/>
    <mergeCell ref="D41:F41"/>
    <mergeCell ref="H41:J41"/>
    <mergeCell ref="D38:E38"/>
    <mergeCell ref="G38:M38"/>
    <mergeCell ref="N38:O38"/>
    <mergeCell ref="D39:E39"/>
    <mergeCell ref="G39:M39"/>
    <mergeCell ref="N39:O39"/>
    <mergeCell ref="D36:E36"/>
    <mergeCell ref="G36:M36"/>
    <mergeCell ref="N36:O36"/>
    <mergeCell ref="Q36:Z36"/>
    <mergeCell ref="AA36:AB36"/>
    <mergeCell ref="D37:E37"/>
    <mergeCell ref="G37:M37"/>
    <mergeCell ref="N37:O37"/>
    <mergeCell ref="Q37:Z37"/>
    <mergeCell ref="AA37:AB37"/>
    <mergeCell ref="A32:D32"/>
    <mergeCell ref="E32:F32"/>
    <mergeCell ref="AC32:AD32"/>
    <mergeCell ref="AA33:AB33"/>
    <mergeCell ref="AC33:AD33"/>
    <mergeCell ref="AA34:AB34"/>
    <mergeCell ref="AC34:AD34"/>
    <mergeCell ref="AC29:AD29"/>
    <mergeCell ref="A30:D30"/>
    <mergeCell ref="E30:F30"/>
    <mergeCell ref="AC30:AD30"/>
    <mergeCell ref="A31:D31"/>
    <mergeCell ref="E31:F31"/>
    <mergeCell ref="AC31:AD31"/>
    <mergeCell ref="AC23:AD23"/>
    <mergeCell ref="AC24:AD24"/>
    <mergeCell ref="AC25:AD25"/>
    <mergeCell ref="AC26:AD26"/>
    <mergeCell ref="AC27:AD27"/>
    <mergeCell ref="AC28:AD28"/>
    <mergeCell ref="AC17:AD17"/>
    <mergeCell ref="AC18:AD18"/>
    <mergeCell ref="AC19:AD19"/>
    <mergeCell ref="AC20:AD20"/>
    <mergeCell ref="AC21:AD21"/>
    <mergeCell ref="AC22:AD22"/>
    <mergeCell ref="AC11:AD11"/>
    <mergeCell ref="AC12:AD12"/>
    <mergeCell ref="AC13:AD13"/>
    <mergeCell ref="AC14:AD14"/>
    <mergeCell ref="AC15:AD15"/>
    <mergeCell ref="AC16:AD16"/>
    <mergeCell ref="AC5:AD5"/>
    <mergeCell ref="AC6:AD6"/>
    <mergeCell ref="AC7:AD7"/>
    <mergeCell ref="AC8:AD8"/>
    <mergeCell ref="AC9:AD9"/>
    <mergeCell ref="AC10:AD10"/>
    <mergeCell ref="A1:AD1"/>
    <mergeCell ref="A2:AD2"/>
    <mergeCell ref="A3:I3"/>
    <mergeCell ref="A4:A5"/>
    <mergeCell ref="C4:F4"/>
    <mergeCell ref="G4:I4"/>
    <mergeCell ref="J4:M4"/>
    <mergeCell ref="N4:O4"/>
    <mergeCell ref="P4:AB4"/>
    <mergeCell ref="AC4:AD4"/>
  </mergeCells>
  <pageMargins left="0.39370078740157499" right="0.196850393700787" top="0.74803149606299202" bottom="0.74803149606299202" header="0" footer="0"/>
  <pageSetup paperSize="9" scale="2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3-9</vt:lpstr>
      <vt:lpstr>'3-9'!Print_Area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CHAN</dc:creator>
  <cp:lastModifiedBy>ARIF CHAN</cp:lastModifiedBy>
  <dcterms:created xsi:type="dcterms:W3CDTF">2026-09-03T10:07:18Z</dcterms:created>
  <dcterms:modified xsi:type="dcterms:W3CDTF">2026-09-03T10:08:05Z</dcterms:modified>
</cp:coreProperties>
</file>