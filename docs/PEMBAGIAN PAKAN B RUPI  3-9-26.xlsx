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LPH 3-9-26\"/>
    </mc:Choice>
  </mc:AlternateContent>
  <xr:revisionPtr revIDLastSave="0" documentId="8_{081443FB-B5C7-4FE3-A714-965B7359C697}" xr6:coauthVersionLast="47" xr6:coauthVersionMax="47" xr10:uidLastSave="{00000000-0000-0000-0000-000000000000}"/>
  <bookViews>
    <workbookView xWindow="-108" yWindow="-108" windowWidth="23256" windowHeight="13176" xr2:uid="{55C5EB1F-8181-4D58-967C-E6884D7EBE92}"/>
  </bookViews>
  <sheets>
    <sheet name="3-9" sheetId="1" r:id="rId1"/>
  </sheets>
  <definedNames>
    <definedName name="_xlnm.Print_Area" localSheetId="0">'3-9'!$A$1:$N$35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3" i="1" l="1"/>
  <c r="S53" i="1"/>
  <c r="R53" i="1"/>
  <c r="E30" i="1"/>
  <c r="E29" i="1"/>
  <c r="E28" i="1"/>
  <c r="E26" i="1"/>
  <c r="E25" i="1"/>
  <c r="J20" i="1"/>
  <c r="I20" i="1"/>
  <c r="G20" i="1"/>
  <c r="K19" i="1"/>
  <c r="H19" i="1"/>
  <c r="L19" i="1" s="1"/>
  <c r="F19" i="1"/>
  <c r="K18" i="1"/>
  <c r="F18" i="1"/>
  <c r="H18" i="1" s="1"/>
  <c r="K17" i="1"/>
  <c r="F17" i="1"/>
  <c r="H17" i="1" s="1"/>
  <c r="K16" i="1"/>
  <c r="F16" i="1"/>
  <c r="H16" i="1" s="1"/>
  <c r="N15" i="1"/>
  <c r="L15" i="1"/>
  <c r="K15" i="1"/>
  <c r="H15" i="1"/>
  <c r="F15" i="1"/>
  <c r="K14" i="1"/>
  <c r="F14" i="1"/>
  <c r="H14" i="1" s="1"/>
  <c r="K13" i="1"/>
  <c r="F13" i="1"/>
  <c r="H13" i="1" s="1"/>
  <c r="K12" i="1"/>
  <c r="F12" i="1"/>
  <c r="H12" i="1" s="1"/>
  <c r="K11" i="1"/>
  <c r="F11" i="1"/>
  <c r="H11" i="1" s="1"/>
  <c r="K10" i="1"/>
  <c r="F10" i="1"/>
  <c r="H10" i="1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N9" i="1"/>
  <c r="K9" i="1"/>
  <c r="H9" i="1"/>
  <c r="L9" i="1" s="1"/>
  <c r="F9" i="1"/>
  <c r="K8" i="1"/>
  <c r="H8" i="1"/>
  <c r="N8" i="1" s="1"/>
  <c r="F8" i="1"/>
  <c r="K7" i="1"/>
  <c r="F7" i="1"/>
  <c r="H7" i="1" s="1"/>
  <c r="C7" i="1"/>
  <c r="C8" i="1" s="1"/>
  <c r="C9" i="1" s="1"/>
  <c r="K6" i="1"/>
  <c r="K20" i="1" s="1"/>
  <c r="F6" i="1"/>
  <c r="H6" i="1" s="1"/>
  <c r="L12" i="1" l="1"/>
  <c r="N12" i="1"/>
  <c r="N16" i="1"/>
  <c r="L16" i="1"/>
  <c r="L17" i="1"/>
  <c r="N17" i="1"/>
  <c r="L13" i="1"/>
  <c r="N13" i="1"/>
  <c r="N14" i="1"/>
  <c r="L14" i="1"/>
  <c r="N18" i="1"/>
  <c r="L18" i="1"/>
  <c r="N11" i="1"/>
  <c r="L11" i="1"/>
  <c r="N6" i="1"/>
  <c r="H20" i="1"/>
  <c r="N20" i="1" s="1"/>
  <c r="L6" i="1"/>
  <c r="N10" i="1"/>
  <c r="L10" i="1"/>
  <c r="N7" i="1"/>
  <c r="L7" i="1"/>
  <c r="L8" i="1"/>
  <c r="F20" i="1"/>
  <c r="N19" i="1"/>
  <c r="B27" i="1"/>
  <c r="D27" i="1" l="1"/>
  <c r="E27" i="1" s="1"/>
</calcChain>
</file>

<file path=xl/sharedStrings.xml><?xml version="1.0" encoding="utf-8"?>
<sst xmlns="http://schemas.openxmlformats.org/spreadsheetml/2006/main" count="92" uniqueCount="75">
  <si>
    <t>PEMBAGIAAN PAKAN BALAI RUPIH</t>
  </si>
  <si>
    <t xml:space="preserve">                                                                                                                                                                    </t>
  </si>
  <si>
    <t xml:space="preserve">Tanggal </t>
  </si>
  <si>
    <t>KAMIS, 3 SEPTEMBER 2026 (BALAI RUPIH)</t>
  </si>
  <si>
    <t>KANDANG</t>
  </si>
  <si>
    <t xml:space="preserve">jenis pakan </t>
  </si>
  <si>
    <t xml:space="preserve">UMUR </t>
  </si>
  <si>
    <t>Jumlah ayam</t>
  </si>
  <si>
    <t>Konsumsi (GR)</t>
  </si>
  <si>
    <t>Jumlah pakan (KG)</t>
  </si>
  <si>
    <t>Sisa (KG)</t>
  </si>
  <si>
    <t>Yang harus di Kirim</t>
  </si>
  <si>
    <t>pakan yg habis (gr)</t>
  </si>
  <si>
    <t>K0NS. REAL / ekor (gr)</t>
  </si>
  <si>
    <t>SELISIH kekurangan (gr) /ekor</t>
  </si>
  <si>
    <t>Ket</t>
  </si>
  <si>
    <t>Kg</t>
  </si>
  <si>
    <t>sak</t>
  </si>
  <si>
    <t>penambahan (kg)</t>
  </si>
  <si>
    <t>LOS A1 APRIZAL</t>
  </si>
  <si>
    <t xml:space="preserve">SPESIAL </t>
  </si>
  <si>
    <t xml:space="preserve"> </t>
  </si>
  <si>
    <t>A2 APRIZAL</t>
  </si>
  <si>
    <t>A3 APRIZAL</t>
  </si>
  <si>
    <t>A4 APRIZAL</t>
  </si>
  <si>
    <t>LOS B1 APRIZAL</t>
  </si>
  <si>
    <t>B2 ULI SIAGIAN</t>
  </si>
  <si>
    <t>B3 TAUFIK</t>
  </si>
  <si>
    <t>B4 TAUFIK</t>
  </si>
  <si>
    <t>B5 TAUFIK</t>
  </si>
  <si>
    <t>LOS C1 APRIZAL</t>
  </si>
  <si>
    <t>C2 ULI SIAGIAN</t>
  </si>
  <si>
    <t>C3 ULI SIAGIAN</t>
  </si>
  <si>
    <t>C4 ULI SIAGIAN</t>
  </si>
  <si>
    <t>C5 TAUFIK</t>
  </si>
  <si>
    <t>Total</t>
  </si>
  <si>
    <t>kg</t>
  </si>
  <si>
    <t>KEBUTUHAN TANGGAL  3-09-2026</t>
  </si>
  <si>
    <t>PERIODE AYAM</t>
  </si>
  <si>
    <t>JMLH PAKAN (KG)</t>
  </si>
  <si>
    <t>PAKAN DIGUDANG</t>
  </si>
  <si>
    <t>SISA KEMAREN</t>
  </si>
  <si>
    <t>KEKURANGAN</t>
  </si>
  <si>
    <t>SP KHUSUS</t>
  </si>
  <si>
    <t>SP TREIL</t>
  </si>
  <si>
    <t>SPESIAL 20%</t>
  </si>
  <si>
    <t>SELFMIX %</t>
  </si>
  <si>
    <t>INDUK</t>
  </si>
  <si>
    <t>SELFMIX 30</t>
  </si>
  <si>
    <t xml:space="preserve">KERTAS YUKI : </t>
  </si>
  <si>
    <t>PETUGAS</t>
  </si>
  <si>
    <t>SOPIR</t>
  </si>
  <si>
    <t>PENGAWAS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</si>
  <si>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</si>
  <si>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                                                                )</t>
  </si>
  <si>
    <t>(                                                  )</t>
  </si>
  <si>
    <t>(                                        )</t>
  </si>
  <si>
    <t>JUMLAH PAKAN</t>
  </si>
  <si>
    <t>SAK</t>
  </si>
  <si>
    <t>KG</t>
  </si>
  <si>
    <t>LOS A1</t>
  </si>
  <si>
    <t>A2</t>
  </si>
  <si>
    <t>A3</t>
  </si>
  <si>
    <t>A4</t>
  </si>
  <si>
    <t>LOS B1</t>
  </si>
  <si>
    <t>B2</t>
  </si>
  <si>
    <t>B3</t>
  </si>
  <si>
    <t>B4</t>
  </si>
  <si>
    <t>B5</t>
  </si>
  <si>
    <t>LOS C1</t>
  </si>
  <si>
    <t>C2</t>
  </si>
  <si>
    <t>C3</t>
  </si>
  <si>
    <t>C4</t>
  </si>
  <si>
    <t>C5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</si>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</sst>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"/>
    <numFmt numFmtId="165" formatCode="_(* #,##0_);_(* \(#,##0\);_(* &quot;-&quot;?_);_(@_)"/>
    <numFmt numFmtId="166" formatCode="_(* #,##0.0_);_(* \(#,##0.0\);_(* &quot;-&quot;_);_(@_)"/>
    <numFmt numFmtId="167" formatCode="#,##0.000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0"/>
      <color rgb="FF1F4A7E"/>
      <name val="Calibri"/>
      <family val="2"/>
    </font>
    <font>
      <sz val="11"/>
      <color rgb="FF1F4A7E"/>
      <name val="Calibri"/>
      <family val="2"/>
    </font>
    <font>
      <sz val="12"/>
      <color rgb="FF1F4A7E"/>
      <name val="Calibri"/>
      <family val="2"/>
    </font>
    <font>
      <sz val="10"/>
      <color rgb="FF1F4A7E"/>
      <name val="Calibri"/>
      <family val="2"/>
    </font>
    <font>
      <b/>
      <sz val="11"/>
      <color rgb="FF1F4A7E"/>
      <name val="Times New Roman"/>
      <family val="1"/>
    </font>
    <font>
      <b/>
      <sz val="20"/>
      <color rgb="FF254061"/>
      <name val="Times New Roman"/>
      <family val="1"/>
    </font>
    <font>
      <b/>
      <sz val="20"/>
      <color rgb="FF254061"/>
      <name val="Calibri"/>
      <family val="2"/>
    </font>
    <font>
      <b/>
      <sz val="12"/>
      <color rgb="FF1F4A7E"/>
      <name val="Times New Roman"/>
      <family val="1"/>
    </font>
    <font>
      <b/>
      <sz val="10"/>
      <color rgb="FF1F4A7E"/>
      <name val="Times New Roman"/>
      <family val="1"/>
    </font>
    <font>
      <b/>
      <sz val="11"/>
      <color rgb="FF1F4A7E"/>
      <name val="Calibri"/>
      <family val="2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22"/>
      <color rgb="FF244062"/>
      <name val="Times New Roman"/>
      <family val="1"/>
    </font>
    <font>
      <b/>
      <sz val="40"/>
      <name val="Times New Roman"/>
      <family val="1"/>
    </font>
    <font>
      <b/>
      <sz val="16"/>
      <color rgb="FF1F4A7E"/>
      <name val="Times New Roman"/>
      <family val="1"/>
    </font>
    <font>
      <b/>
      <sz val="2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C5D9F1"/>
        <bgColor indexed="64"/>
      </patternFill>
    </fill>
  </fills>
  <borders count="21">
    <border>
      <left/>
      <right/>
      <top/>
      <bottom/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/>
      <diagonal/>
    </border>
    <border>
      <left style="medium">
        <color rgb="FF963734"/>
      </left>
      <right/>
      <top style="medium">
        <color rgb="FF963734"/>
      </top>
      <bottom style="medium">
        <color rgb="FF963734"/>
      </bottom>
      <diagonal/>
    </border>
    <border>
      <left/>
      <right/>
      <top style="medium">
        <color rgb="FF963734"/>
      </top>
      <bottom style="medium">
        <color rgb="FF963734"/>
      </bottom>
      <diagonal/>
    </border>
    <border>
      <left/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 style="medium">
        <color rgb="FF963734"/>
      </left>
      <right style="medium">
        <color rgb="FF963734"/>
      </right>
      <top/>
      <bottom style="medium">
        <color rgb="FF963734"/>
      </bottom>
      <diagonal/>
    </border>
    <border>
      <left style="medium">
        <color rgb="FF963734"/>
      </left>
      <right style="medium">
        <color rgb="FF963734"/>
      </right>
      <top/>
      <bottom style="medium">
        <color rgb="FF993300"/>
      </bottom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63734"/>
      </left>
      <right/>
      <top/>
      <bottom style="medium">
        <color rgb="FF963734"/>
      </bottom>
      <diagonal/>
    </border>
    <border>
      <left/>
      <right/>
      <top/>
      <bottom style="medium">
        <color rgb="FF963734"/>
      </bottom>
      <diagonal/>
    </border>
    <border>
      <left/>
      <right style="medium">
        <color rgb="FF963734"/>
      </right>
      <top/>
      <bottom style="medium">
        <color rgb="FF963734"/>
      </bottom>
      <diagonal/>
    </border>
    <border>
      <left style="thin">
        <color rgb="FF974706"/>
      </left>
      <right style="thin">
        <color rgb="FF974706"/>
      </right>
      <top style="thin">
        <color rgb="FF974706"/>
      </top>
      <bottom style="thin">
        <color rgb="FF974706"/>
      </bottom>
      <diagonal/>
    </border>
    <border>
      <left style="thin">
        <color rgb="FF974706"/>
      </left>
      <right/>
      <top style="thin">
        <color rgb="FF974706"/>
      </top>
      <bottom style="thin">
        <color rgb="FF974706"/>
      </bottom>
      <diagonal/>
    </border>
    <border>
      <left/>
      <right style="thin">
        <color rgb="FF974706"/>
      </right>
      <top style="thin">
        <color rgb="FF974706"/>
      </top>
      <bottom style="thin">
        <color rgb="FF974706"/>
      </bottom>
      <diagonal/>
    </border>
    <border>
      <left style="thin">
        <color rgb="FF963634"/>
      </left>
      <right style="thin">
        <color rgb="FF963634"/>
      </right>
      <top style="thin">
        <color rgb="FF963634"/>
      </top>
      <bottom style="thin">
        <color rgb="FF963634"/>
      </bottom>
      <diagonal/>
    </border>
    <border>
      <left style="medium">
        <color rgb="FF963734"/>
      </left>
      <right/>
      <top/>
      <bottom/>
      <diagonal/>
    </border>
    <border>
      <left/>
      <right style="thin">
        <color rgb="FF963634"/>
      </right>
      <top/>
      <bottom/>
      <diagonal/>
    </border>
    <border>
      <left style="thin">
        <color rgb="FF0F243E"/>
      </left>
      <right style="thin">
        <color rgb="FF0F243E"/>
      </right>
      <top style="thin">
        <color rgb="FF0F243E"/>
      </top>
      <bottom/>
      <diagonal/>
    </border>
    <border>
      <left style="thin">
        <color rgb="FF0F243E"/>
      </left>
      <right style="thin">
        <color rgb="FF0F243E"/>
      </right>
      <top style="thin">
        <color rgb="FF0F243E"/>
      </top>
      <bottom style="thin">
        <color rgb="FF0F243E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 style="thin">
        <color rgb="FF538DD5"/>
      </bottom>
      <diagonal/>
    </border>
  </borders>
  <cellStyleXfs count="5">
    <xf numFmtId="0" fontId="0" fillId="0" borderId="0"/>
    <xf numFmtId="0" fontId="1" fillId="0" borderId="0">
      <protection locked="0"/>
    </xf>
    <xf numFmtId="0" fontId="1" fillId="0" borderId="0">
      <protection locked="0"/>
    </xf>
    <xf numFmtId="164" fontId="1" fillId="0" borderId="0">
      <alignment vertical="top"/>
      <protection locked="0"/>
    </xf>
    <xf numFmtId="0" fontId="1" fillId="6" borderId="0">
      <protection locked="0"/>
    </xf>
  </cellStyleXfs>
  <cellXfs count="98">
    <xf numFmtId="0" fontId="0" fillId="0" borderId="0" xfId="0"/>
    <xf numFmtId="0" fontId="2" fillId="0" borderId="0" xfId="1" applyFont="1" applyAlignment="1" applyProtection="1">
      <alignment horizontal="center" vertical="center" wrapText="1"/>
    </xf>
    <xf numFmtId="0" fontId="1" fillId="0" borderId="0" xfId="1" applyProtection="1"/>
    <xf numFmtId="0" fontId="2" fillId="0" borderId="0" xfId="1" applyFont="1" applyAlignment="1" applyProtection="1">
      <alignment horizontal="center" vertical="center" wrapText="1"/>
    </xf>
    <xf numFmtId="164" fontId="2" fillId="0" borderId="0" xfId="1" applyNumberFormat="1" applyFont="1" applyAlignment="1" applyProtection="1">
      <alignment horizontal="center" vertical="center" wrapText="1"/>
    </xf>
    <xf numFmtId="3" fontId="2" fillId="0" borderId="0" xfId="1" applyNumberFormat="1" applyFont="1" applyAlignment="1" applyProtection="1">
      <alignment horizontal="center" vertical="center" wrapText="1"/>
    </xf>
    <xf numFmtId="0" fontId="3" fillId="0" borderId="0" xfId="1" applyFont="1" applyProtection="1"/>
    <xf numFmtId="0" fontId="4" fillId="2" borderId="0" xfId="1" applyFont="1" applyFill="1" applyAlignment="1" applyProtection="1">
      <alignment horizontal="center" vertical="center"/>
    </xf>
    <xf numFmtId="0" fontId="4" fillId="2" borderId="0" xfId="1" applyFont="1" applyFill="1" applyAlignment="1" applyProtection="1">
      <alignment vertical="center"/>
    </xf>
    <xf numFmtId="0" fontId="3" fillId="2" borderId="0" xfId="1" applyFont="1" applyFill="1" applyProtection="1"/>
    <xf numFmtId="0" fontId="3" fillId="0" borderId="0" xfId="1" applyFont="1" applyAlignment="1" applyProtection="1">
      <alignment horizontal="center"/>
    </xf>
    <xf numFmtId="3" fontId="3" fillId="0" borderId="0" xfId="1" applyNumberFormat="1" applyFont="1" applyProtection="1"/>
    <xf numFmtId="0" fontId="5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</xf>
    <xf numFmtId="164" fontId="5" fillId="0" borderId="1" xfId="1" applyNumberFormat="1" applyFont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3" fontId="5" fillId="0" borderId="1" xfId="1" applyNumberFormat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</xf>
    <xf numFmtId="164" fontId="5" fillId="0" borderId="6" xfId="1" applyNumberFormat="1" applyFont="1" applyBorder="1" applyAlignment="1" applyProtection="1">
      <alignment horizontal="center" vertical="center" wrapText="1"/>
    </xf>
    <xf numFmtId="164" fontId="5" fillId="0" borderId="5" xfId="1" applyNumberFormat="1" applyFont="1" applyBorder="1" applyAlignment="1" applyProtection="1">
      <alignment horizontal="center" vertical="center" wrapText="1"/>
    </xf>
    <xf numFmtId="164" fontId="5" fillId="0" borderId="7" xfId="1" applyNumberFormat="1" applyFont="1" applyBorder="1" applyAlignment="1" applyProtection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  <xf numFmtId="3" fontId="5" fillId="0" borderId="5" xfId="1" applyNumberFormat="1" applyFont="1" applyBorder="1" applyAlignment="1" applyProtection="1">
      <alignment horizontal="center" vertical="center" wrapText="1"/>
    </xf>
    <xf numFmtId="0" fontId="6" fillId="3" borderId="7" xfId="1" applyFont="1" applyFill="1" applyBorder="1" applyAlignment="1" applyProtection="1">
      <alignment horizontal="center" vertical="center"/>
    </xf>
    <xf numFmtId="0" fontId="6" fillId="4" borderId="7" xfId="1" applyFont="1" applyFill="1" applyBorder="1" applyAlignment="1" applyProtection="1">
      <alignment horizontal="center" vertical="center"/>
    </xf>
    <xf numFmtId="0" fontId="7" fillId="3" borderId="8" xfId="2" applyFont="1" applyFill="1" applyBorder="1" applyAlignment="1" applyProtection="1">
      <alignment horizontal="center" vertical="center"/>
    </xf>
    <xf numFmtId="1" fontId="8" fillId="3" borderId="8" xfId="2" applyNumberFormat="1" applyFont="1" applyFill="1" applyBorder="1" applyAlignment="1" applyProtection="1">
      <alignment horizontal="center" vertical="center"/>
    </xf>
    <xf numFmtId="1" fontId="9" fillId="3" borderId="8" xfId="1" applyNumberFormat="1" applyFont="1" applyFill="1" applyBorder="1" applyAlignment="1" applyProtection="1">
      <alignment horizontal="center" vertical="center"/>
    </xf>
    <xf numFmtId="165" fontId="3" fillId="0" borderId="7" xfId="1" applyNumberFormat="1" applyFont="1" applyBorder="1" applyAlignment="1" applyProtection="1">
      <alignment horizontal="center" vertical="center"/>
    </xf>
    <xf numFmtId="41" fontId="3" fillId="5" borderId="7" xfId="3" applyNumberFormat="1" applyFont="1" applyFill="1" applyBorder="1" applyAlignment="1" applyProtection="1"/>
    <xf numFmtId="3" fontId="3" fillId="5" borderId="7" xfId="1" applyNumberFormat="1" applyFont="1" applyFill="1" applyBorder="1" applyAlignment="1" applyProtection="1">
      <alignment horizontal="center"/>
    </xf>
    <xf numFmtId="3" fontId="3" fillId="0" borderId="7" xfId="1" applyNumberFormat="1" applyFont="1" applyBorder="1" applyProtection="1"/>
    <xf numFmtId="165" fontId="3" fillId="0" borderId="7" xfId="1" applyNumberFormat="1" applyFont="1" applyBorder="1" applyProtection="1"/>
    <xf numFmtId="164" fontId="3" fillId="0" borderId="7" xfId="1" applyNumberFormat="1" applyFont="1" applyBorder="1" applyProtection="1"/>
    <xf numFmtId="165" fontId="3" fillId="3" borderId="7" xfId="1" applyNumberFormat="1" applyFont="1" applyFill="1" applyBorder="1" applyAlignment="1" applyProtection="1">
      <alignment horizontal="center" vertical="center"/>
    </xf>
    <xf numFmtId="0" fontId="6" fillId="3" borderId="7" xfId="1" applyFont="1" applyFill="1" applyBorder="1" applyAlignment="1" applyProtection="1">
      <alignment horizontal="center" vertical="center" wrapText="1"/>
    </xf>
    <xf numFmtId="1" fontId="9" fillId="3" borderId="8" xfId="3" applyNumberFormat="1" applyFont="1" applyFill="1" applyBorder="1" applyAlignment="1" applyProtection="1">
      <alignment horizontal="center" vertical="center"/>
    </xf>
    <xf numFmtId="0" fontId="3" fillId="5" borderId="7" xfId="3" applyNumberFormat="1" applyFont="1" applyFill="1" applyBorder="1" applyAlignment="1" applyProtection="1">
      <alignment horizontal="center"/>
    </xf>
    <xf numFmtId="49" fontId="10" fillId="7" borderId="9" xfId="4" applyNumberFormat="1" applyFont="1" applyFill="1" applyBorder="1" applyAlignment="1" applyProtection="1">
      <alignment horizontal="center" vertical="center"/>
    </xf>
    <xf numFmtId="49" fontId="10" fillId="7" borderId="10" xfId="4" applyNumberFormat="1" applyFont="1" applyFill="1" applyBorder="1" applyAlignment="1" applyProtection="1">
      <alignment horizontal="center" vertical="center"/>
    </xf>
    <xf numFmtId="49" fontId="10" fillId="7" borderId="11" xfId="4" applyNumberFormat="1" applyFont="1" applyFill="1" applyBorder="1" applyAlignment="1" applyProtection="1">
      <alignment horizontal="center" vertical="center"/>
    </xf>
    <xf numFmtId="3" fontId="11" fillId="7" borderId="7" xfId="1" applyNumberFormat="1" applyFont="1" applyFill="1" applyBorder="1" applyProtection="1"/>
    <xf numFmtId="164" fontId="11" fillId="7" borderId="7" xfId="1" applyNumberFormat="1" applyFont="1" applyFill="1" applyBorder="1" applyProtection="1"/>
    <xf numFmtId="3" fontId="11" fillId="8" borderId="7" xfId="1" applyNumberFormat="1" applyFont="1" applyFill="1" applyBorder="1" applyProtection="1"/>
    <xf numFmtId="164" fontId="3" fillId="0" borderId="0" xfId="1" applyNumberFormat="1" applyFont="1" applyProtection="1"/>
    <xf numFmtId="164" fontId="3" fillId="0" borderId="0" xfId="1" applyNumberFormat="1" applyFont="1" applyAlignment="1" applyProtection="1">
      <alignment horizontal="center"/>
    </xf>
    <xf numFmtId="166" fontId="11" fillId="0" borderId="0" xfId="3" applyNumberFormat="1" applyFont="1" applyAlignment="1" applyProtection="1"/>
    <xf numFmtId="0" fontId="11" fillId="0" borderId="0" xfId="1" applyFont="1" applyProtection="1"/>
    <xf numFmtId="0" fontId="4" fillId="9" borderId="0" xfId="1" applyFont="1" applyFill="1" applyAlignment="1" applyProtection="1">
      <alignment horizontal="left" vertical="center"/>
    </xf>
    <xf numFmtId="0" fontId="4" fillId="0" borderId="0" xfId="1" applyFont="1" applyAlignment="1" applyProtection="1">
      <alignment horizontal="left" vertical="center"/>
    </xf>
    <xf numFmtId="0" fontId="12" fillId="10" borderId="12" xfId="1" applyFont="1" applyFill="1" applyBorder="1" applyProtection="1"/>
    <xf numFmtId="0" fontId="13" fillId="10" borderId="12" xfId="1" applyFont="1" applyFill="1" applyBorder="1" applyProtection="1"/>
    <xf numFmtId="0" fontId="14" fillId="10" borderId="12" xfId="1" applyFont="1" applyFill="1" applyBorder="1" applyProtection="1"/>
    <xf numFmtId="0" fontId="14" fillId="10" borderId="13" xfId="1" applyFont="1" applyFill="1" applyBorder="1" applyAlignment="1" applyProtection="1">
      <alignment horizontal="left"/>
    </xf>
    <xf numFmtId="0" fontId="14" fillId="10" borderId="14" xfId="1" applyFont="1" applyFill="1" applyBorder="1" applyAlignment="1" applyProtection="1">
      <alignment horizontal="left"/>
    </xf>
    <xf numFmtId="0" fontId="12" fillId="0" borderId="12" xfId="1" applyFont="1" applyBorder="1" applyAlignment="1" applyProtection="1">
      <alignment horizontal="left" vertical="center"/>
    </xf>
    <xf numFmtId="3" fontId="12" fillId="0" borderId="12" xfId="1" applyNumberFormat="1" applyFont="1" applyBorder="1" applyProtection="1"/>
    <xf numFmtId="1" fontId="15" fillId="0" borderId="12" xfId="1" applyNumberFormat="1" applyFont="1" applyBorder="1" applyProtection="1"/>
    <xf numFmtId="3" fontId="15" fillId="0" borderId="13" xfId="1" applyNumberFormat="1" applyFont="1" applyBorder="1" applyAlignment="1" applyProtection="1">
      <alignment horizontal="center"/>
    </xf>
    <xf numFmtId="3" fontId="15" fillId="0" borderId="14" xfId="1" applyNumberFormat="1" applyFont="1" applyBorder="1" applyAlignment="1" applyProtection="1">
      <alignment horizontal="center"/>
    </xf>
    <xf numFmtId="0" fontId="12" fillId="4" borderId="12" xfId="1" applyFont="1" applyFill="1" applyBorder="1" applyAlignment="1" applyProtection="1">
      <alignment horizontal="left" vertical="center"/>
    </xf>
    <xf numFmtId="3" fontId="12" fillId="4" borderId="12" xfId="1" applyNumberFormat="1" applyFont="1" applyFill="1" applyBorder="1" applyProtection="1"/>
    <xf numFmtId="1" fontId="15" fillId="4" borderId="12" xfId="1" applyNumberFormat="1" applyFont="1" applyFill="1" applyBorder="1" applyProtection="1"/>
    <xf numFmtId="3" fontId="15" fillId="4" borderId="13" xfId="1" applyNumberFormat="1" applyFont="1" applyFill="1" applyBorder="1" applyAlignment="1" applyProtection="1">
      <alignment horizontal="center"/>
    </xf>
    <xf numFmtId="3" fontId="15" fillId="4" borderId="14" xfId="1" applyNumberFormat="1" applyFont="1" applyFill="1" applyBorder="1" applyAlignment="1" applyProtection="1">
      <alignment horizontal="center"/>
    </xf>
    <xf numFmtId="167" fontId="3" fillId="0" borderId="0" xfId="1" applyNumberFormat="1" applyFont="1" applyProtection="1"/>
    <xf numFmtId="0" fontId="12" fillId="2" borderId="15" xfId="1" applyFont="1" applyFill="1" applyBorder="1" applyAlignment="1" applyProtection="1">
      <alignment horizontal="left" vertical="center"/>
    </xf>
    <xf numFmtId="3" fontId="12" fillId="2" borderId="12" xfId="1" applyNumberFormat="1" applyFont="1" applyFill="1" applyBorder="1" applyProtection="1"/>
    <xf numFmtId="1" fontId="15" fillId="2" borderId="12" xfId="1" applyNumberFormat="1" applyFont="1" applyFill="1" applyBorder="1" applyProtection="1"/>
    <xf numFmtId="3" fontId="15" fillId="2" borderId="13" xfId="1" applyNumberFormat="1" applyFont="1" applyFill="1" applyBorder="1" applyAlignment="1" applyProtection="1">
      <alignment horizontal="center"/>
    </xf>
    <xf numFmtId="3" fontId="15" fillId="2" borderId="14" xfId="1" applyNumberFormat="1" applyFont="1" applyFill="1" applyBorder="1" applyAlignment="1" applyProtection="1">
      <alignment horizontal="center"/>
    </xf>
    <xf numFmtId="3" fontId="12" fillId="3" borderId="12" xfId="1" applyNumberFormat="1" applyFont="1" applyFill="1" applyBorder="1" applyProtection="1"/>
    <xf numFmtId="0" fontId="15" fillId="3" borderId="12" xfId="1" applyFont="1" applyFill="1" applyBorder="1" applyProtection="1"/>
    <xf numFmtId="3" fontId="15" fillId="3" borderId="13" xfId="1" applyNumberFormat="1" applyFont="1" applyFill="1" applyBorder="1" applyAlignment="1" applyProtection="1">
      <alignment horizontal="center"/>
    </xf>
    <xf numFmtId="3" fontId="15" fillId="3" borderId="14" xfId="1" applyNumberFormat="1" applyFont="1" applyFill="1" applyBorder="1" applyAlignment="1" applyProtection="1">
      <alignment horizontal="center"/>
    </xf>
    <xf numFmtId="0" fontId="3" fillId="3" borderId="0" xfId="1" applyFont="1" applyFill="1" applyProtection="1"/>
    <xf numFmtId="41" fontId="3" fillId="3" borderId="0" xfId="3" applyNumberFormat="1" applyFont="1" applyFill="1" applyAlignment="1" applyProtection="1"/>
    <xf numFmtId="164" fontId="3" fillId="3" borderId="0" xfId="1" applyNumberFormat="1" applyFont="1" applyFill="1" applyProtection="1"/>
    <xf numFmtId="164" fontId="3" fillId="3" borderId="0" xfId="1" applyNumberFormat="1" applyFont="1" applyFill="1" applyAlignment="1" applyProtection="1">
      <alignment horizontal="center"/>
    </xf>
    <xf numFmtId="3" fontId="3" fillId="3" borderId="0" xfId="1" applyNumberFormat="1" applyFont="1" applyFill="1" applyProtection="1"/>
    <xf numFmtId="0" fontId="11" fillId="0" borderId="0" xfId="1" applyFont="1" applyAlignment="1" applyProtection="1">
      <alignment horizontal="center"/>
    </xf>
    <xf numFmtId="0" fontId="1" fillId="0" borderId="0" xfId="1" applyAlignment="1" applyProtection="1">
      <alignment vertical="center"/>
    </xf>
    <xf numFmtId="0" fontId="6" fillId="4" borderId="16" xfId="1" applyFont="1" applyFill="1" applyBorder="1" applyAlignment="1" applyProtection="1">
      <alignment horizontal="center" vertical="center"/>
    </xf>
    <xf numFmtId="0" fontId="6" fillId="4" borderId="0" xfId="1" applyFont="1" applyFill="1" applyAlignment="1" applyProtection="1">
      <alignment horizontal="center" vertical="center"/>
    </xf>
    <xf numFmtId="0" fontId="6" fillId="4" borderId="17" xfId="1" applyFont="1" applyFill="1" applyBorder="1" applyAlignment="1" applyProtection="1">
      <alignment horizontal="center" vertical="center"/>
    </xf>
    <xf numFmtId="0" fontId="16" fillId="0" borderId="18" xfId="1" applyFont="1" applyBorder="1" applyAlignment="1" applyProtection="1">
      <alignment horizontal="center" vertical="center"/>
    </xf>
    <xf numFmtId="3" fontId="16" fillId="0" borderId="18" xfId="1" applyNumberFormat="1" applyFont="1" applyBorder="1" applyAlignment="1" applyProtection="1">
      <alignment horizontal="center" vertical="center" wrapText="1"/>
    </xf>
    <xf numFmtId="41" fontId="17" fillId="0" borderId="18" xfId="1" applyNumberFormat="1" applyFont="1" applyBorder="1" applyAlignment="1" applyProtection="1">
      <alignment horizontal="center" vertical="center"/>
    </xf>
    <xf numFmtId="3" fontId="17" fillId="0" borderId="18" xfId="1" applyNumberFormat="1" applyFont="1" applyBorder="1" applyAlignment="1" applyProtection="1">
      <alignment horizontal="center" vertical="center"/>
    </xf>
    <xf numFmtId="0" fontId="18" fillId="3" borderId="7" xfId="1" applyFont="1" applyFill="1" applyBorder="1" applyAlignment="1" applyProtection="1">
      <alignment horizontal="center" vertical="center"/>
    </xf>
    <xf numFmtId="0" fontId="18" fillId="3" borderId="7" xfId="1" applyFont="1" applyFill="1" applyBorder="1" applyAlignment="1" applyProtection="1">
      <alignment horizontal="center" vertical="center" wrapText="1"/>
    </xf>
    <xf numFmtId="0" fontId="17" fillId="0" borderId="18" xfId="1" applyFont="1" applyBorder="1" applyAlignment="1" applyProtection="1">
      <alignment horizontal="center" vertical="center"/>
    </xf>
    <xf numFmtId="0" fontId="19" fillId="11" borderId="19" xfId="1" applyFont="1" applyFill="1" applyBorder="1" applyAlignment="1" applyProtection="1">
      <alignment horizontal="center" vertical="center"/>
    </xf>
    <xf numFmtId="3" fontId="17" fillId="11" borderId="20" xfId="1" applyNumberFormat="1" applyFont="1" applyFill="1" applyBorder="1" applyAlignment="1" applyProtection="1">
      <alignment horizontal="center"/>
    </xf>
  </cellXfs>
  <cellStyles count="5">
    <cellStyle name="40% - Accent6 6 2" xfId="4" xr:uid="{7CC95560-C373-4E56-83B6-25AA59D05F9E}"/>
    <cellStyle name="Comma [0] 2 2 2 3" xfId="3" xr:uid="{1806C239-C5E0-4FEA-80E5-FCBE05A052FD}"/>
    <cellStyle name="Normal" xfId="0" builtinId="0"/>
    <cellStyle name="Normal 2 2" xfId="1" xr:uid="{F2B5A5E3-CAB2-4F82-8B07-C189D04ED0AF}"/>
    <cellStyle name="Normal 2 2 2 2" xfId="2" xr:uid="{3A6231A1-82F5-4BFD-B4B8-9AE1C1039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205F-C122-462C-9947-C258E1365101}">
  <dimension ref="A1:U53"/>
  <sheetViews>
    <sheetView tabSelected="1" zoomScale="64" zoomScaleNormal="64" workbookViewId="0">
      <selection activeCell="D6" sqref="D6:D19"/>
    </sheetView>
  </sheetViews>
  <sheetFormatPr defaultColWidth="9.109375" defaultRowHeight="14.4" x14ac:dyDescent="0.3"/>
  <cols>
    <col min="1" max="1" width="26.44140625" style="2" customWidth="1"/>
    <col min="2" max="2" width="34.6640625" style="2" customWidth="1"/>
    <col min="3" max="3" width="18.5546875" style="2" customWidth="1"/>
    <col min="4" max="4" width="12.33203125" style="2" customWidth="1"/>
    <col min="5" max="5" width="10.88671875" style="2" customWidth="1"/>
    <col min="6" max="6" width="13.88671875" style="2" customWidth="1"/>
    <col min="7" max="7" width="12.44140625" style="2" customWidth="1"/>
    <col min="8" max="8" width="10.88671875" style="2" customWidth="1"/>
    <col min="9" max="9" width="7.6640625" style="2" customWidth="1"/>
    <col min="10" max="10" width="12.6640625" style="2" customWidth="1"/>
    <col min="11" max="11" width="12.88671875" style="2" customWidth="1"/>
    <col min="12" max="12" width="10.5546875" style="2" customWidth="1"/>
    <col min="13" max="13" width="12.88671875" style="2" customWidth="1"/>
    <col min="14" max="14" width="12.5546875" style="2" customWidth="1"/>
    <col min="15" max="16" width="9.109375" style="2"/>
    <col min="17" max="17" width="34.6640625" style="2" customWidth="1"/>
    <col min="18" max="18" width="25" style="2" customWidth="1"/>
    <col min="19" max="19" width="17.33203125" style="2" customWidth="1"/>
    <col min="20" max="20" width="21.33203125" style="2" customWidth="1"/>
    <col min="21" max="16384" width="9.109375" style="2"/>
  </cols>
  <sheetData>
    <row r="1" spans="1:17" ht="25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ht="25.8" x14ac:dyDescent="0.3">
      <c r="A2" s="3"/>
      <c r="B2" s="3" t="s">
        <v>1</v>
      </c>
      <c r="C2" s="3"/>
      <c r="D2" s="3"/>
      <c r="E2" s="3"/>
      <c r="F2" s="4"/>
      <c r="G2" s="4"/>
      <c r="H2" s="4"/>
      <c r="I2" s="4"/>
      <c r="J2" s="3"/>
      <c r="K2" s="5"/>
      <c r="L2" s="3"/>
      <c r="M2" s="3"/>
      <c r="N2" s="6"/>
    </row>
    <row r="3" spans="1:17" ht="16.2" thickBot="1" x14ac:dyDescent="0.35">
      <c r="A3" s="7" t="s">
        <v>2</v>
      </c>
      <c r="B3" s="8" t="s">
        <v>3</v>
      </c>
      <c r="C3" s="9"/>
      <c r="D3" s="6"/>
      <c r="E3" s="6"/>
      <c r="F3" s="6"/>
      <c r="G3" s="6"/>
      <c r="H3" s="6"/>
      <c r="I3" s="10"/>
      <c r="J3" s="6"/>
      <c r="K3" s="11"/>
      <c r="L3" s="6"/>
      <c r="M3" s="6"/>
      <c r="N3" s="6"/>
    </row>
    <row r="4" spans="1:17" ht="15" thickBot="1" x14ac:dyDescent="0.35">
      <c r="A4" s="12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4" t="s">
        <v>9</v>
      </c>
      <c r="G4" s="14" t="s">
        <v>10</v>
      </c>
      <c r="H4" s="15" t="s">
        <v>11</v>
      </c>
      <c r="I4" s="16"/>
      <c r="J4" s="17"/>
      <c r="K4" s="18" t="s">
        <v>12</v>
      </c>
      <c r="L4" s="13" t="s">
        <v>13</v>
      </c>
      <c r="M4" s="13" t="s">
        <v>14</v>
      </c>
      <c r="N4" s="12" t="s">
        <v>15</v>
      </c>
    </row>
    <row r="5" spans="1:17" ht="28.2" thickBot="1" x14ac:dyDescent="0.35">
      <c r="A5" s="19"/>
      <c r="B5" s="20"/>
      <c r="C5" s="21"/>
      <c r="D5" s="21"/>
      <c r="E5" s="21"/>
      <c r="F5" s="22"/>
      <c r="G5" s="23"/>
      <c r="H5" s="24" t="s">
        <v>16</v>
      </c>
      <c r="I5" s="24" t="s">
        <v>17</v>
      </c>
      <c r="J5" s="25" t="s">
        <v>18</v>
      </c>
      <c r="K5" s="26"/>
      <c r="L5" s="20"/>
      <c r="M5" s="20"/>
      <c r="N5" s="19"/>
    </row>
    <row r="6" spans="1:17" ht="26.4" thickBot="1" x14ac:dyDescent="0.35">
      <c r="A6" s="27" t="s">
        <v>19</v>
      </c>
      <c r="B6" s="28" t="s">
        <v>20</v>
      </c>
      <c r="C6" s="29">
        <v>99</v>
      </c>
      <c r="D6" s="30">
        <v>619</v>
      </c>
      <c r="E6" s="29">
        <v>125</v>
      </c>
      <c r="F6" s="31">
        <f>+D6*E6/1000</f>
        <v>77.375</v>
      </c>
      <c r="G6" s="32"/>
      <c r="H6" s="33">
        <f>+F6-G6</f>
        <v>77.375</v>
      </c>
      <c r="I6" s="34">
        <v>1</v>
      </c>
      <c r="J6" s="35">
        <v>27</v>
      </c>
      <c r="K6" s="35">
        <f t="shared" ref="K6:K19" si="0">+I6*50+J6</f>
        <v>77</v>
      </c>
      <c r="L6" s="36">
        <f t="shared" ref="L6:L19" si="1">+H6/D6*1000</f>
        <v>125</v>
      </c>
      <c r="M6" s="36"/>
      <c r="N6" s="37" t="e">
        <f>+H6-#REF!</f>
        <v>#REF!</v>
      </c>
      <c r="Q6" s="2" t="s">
        <v>21</v>
      </c>
    </row>
    <row r="7" spans="1:17" ht="26.4" thickBot="1" x14ac:dyDescent="0.35">
      <c r="A7" s="27" t="s">
        <v>22</v>
      </c>
      <c r="B7" s="28" t="s">
        <v>20</v>
      </c>
      <c r="C7" s="29">
        <f>+C6</f>
        <v>99</v>
      </c>
      <c r="D7" s="30">
        <v>622</v>
      </c>
      <c r="E7" s="29">
        <v>125</v>
      </c>
      <c r="F7" s="31">
        <f t="shared" ref="F7:F19" si="2">+D7*E7/1000</f>
        <v>77.75</v>
      </c>
      <c r="G7" s="32"/>
      <c r="H7" s="33">
        <f t="shared" ref="H7:H19" si="3">+F7-G7</f>
        <v>77.75</v>
      </c>
      <c r="I7" s="34">
        <v>1</v>
      </c>
      <c r="J7" s="35">
        <v>28</v>
      </c>
      <c r="K7" s="35">
        <f t="shared" si="0"/>
        <v>78</v>
      </c>
      <c r="L7" s="36">
        <f t="shared" si="1"/>
        <v>125</v>
      </c>
      <c r="M7" s="36">
        <v>0</v>
      </c>
      <c r="N7" s="37" t="e">
        <f>+H7-#REF!</f>
        <v>#REF!</v>
      </c>
    </row>
    <row r="8" spans="1:17" ht="26.4" thickBot="1" x14ac:dyDescent="0.35">
      <c r="A8" s="27" t="s">
        <v>23</v>
      </c>
      <c r="B8" s="28" t="s">
        <v>20</v>
      </c>
      <c r="C8" s="29">
        <f t="shared" ref="C8:C9" si="4">+C7</f>
        <v>99</v>
      </c>
      <c r="D8" s="30">
        <v>611</v>
      </c>
      <c r="E8" s="29">
        <v>125</v>
      </c>
      <c r="F8" s="31">
        <f t="shared" si="2"/>
        <v>76.375</v>
      </c>
      <c r="G8" s="32"/>
      <c r="H8" s="33">
        <f t="shared" si="3"/>
        <v>76.375</v>
      </c>
      <c r="I8" s="34">
        <v>1</v>
      </c>
      <c r="J8" s="35">
        <v>26</v>
      </c>
      <c r="K8" s="35">
        <f t="shared" si="0"/>
        <v>76</v>
      </c>
      <c r="L8" s="36">
        <f t="shared" si="1"/>
        <v>125</v>
      </c>
      <c r="M8" s="36">
        <v>0</v>
      </c>
      <c r="N8" s="37" t="e">
        <f>+H8-#REF!</f>
        <v>#REF!</v>
      </c>
      <c r="P8" s="2" t="s">
        <v>21</v>
      </c>
    </row>
    <row r="9" spans="1:17" ht="26.4" thickBot="1" x14ac:dyDescent="0.35">
      <c r="A9" s="27" t="s">
        <v>24</v>
      </c>
      <c r="B9" s="28" t="s">
        <v>20</v>
      </c>
      <c r="C9" s="29">
        <f t="shared" si="4"/>
        <v>99</v>
      </c>
      <c r="D9" s="30">
        <v>655</v>
      </c>
      <c r="E9" s="29">
        <v>125</v>
      </c>
      <c r="F9" s="31">
        <f t="shared" si="2"/>
        <v>81.875</v>
      </c>
      <c r="G9" s="32"/>
      <c r="H9" s="33">
        <f t="shared" si="3"/>
        <v>81.875</v>
      </c>
      <c r="I9" s="34">
        <v>1</v>
      </c>
      <c r="J9" s="35">
        <v>32</v>
      </c>
      <c r="K9" s="35">
        <f t="shared" si="0"/>
        <v>82</v>
      </c>
      <c r="L9" s="36">
        <f t="shared" si="1"/>
        <v>125</v>
      </c>
      <c r="M9" s="36">
        <v>0</v>
      </c>
      <c r="N9" s="37" t="e">
        <f>+H9-#REF!</f>
        <v>#REF!</v>
      </c>
    </row>
    <row r="10" spans="1:17" ht="26.4" thickBot="1" x14ac:dyDescent="0.35">
      <c r="A10" s="27" t="s">
        <v>25</v>
      </c>
      <c r="B10" s="28" t="s">
        <v>20</v>
      </c>
      <c r="C10" s="29">
        <f>+C6</f>
        <v>99</v>
      </c>
      <c r="D10" s="30">
        <v>1593</v>
      </c>
      <c r="E10" s="29">
        <v>125</v>
      </c>
      <c r="F10" s="31">
        <f t="shared" si="2"/>
        <v>199.125</v>
      </c>
      <c r="G10" s="38"/>
      <c r="H10" s="33">
        <f t="shared" si="3"/>
        <v>199.125</v>
      </c>
      <c r="I10" s="34">
        <v>3</v>
      </c>
      <c r="J10" s="35">
        <v>49</v>
      </c>
      <c r="K10" s="35">
        <f t="shared" si="0"/>
        <v>199</v>
      </c>
      <c r="L10" s="36">
        <f t="shared" si="1"/>
        <v>125</v>
      </c>
      <c r="M10" s="36">
        <v>0</v>
      </c>
      <c r="N10" s="37" t="e">
        <f>+H10-#REF!</f>
        <v>#REF!</v>
      </c>
    </row>
    <row r="11" spans="1:17" ht="26.4" thickBot="1" x14ac:dyDescent="0.35">
      <c r="A11" s="27" t="s">
        <v>26</v>
      </c>
      <c r="B11" s="28" t="s">
        <v>20</v>
      </c>
      <c r="C11" s="29">
        <f t="shared" ref="C11:C19" si="5">+C10</f>
        <v>99</v>
      </c>
      <c r="D11" s="30">
        <v>1572</v>
      </c>
      <c r="E11" s="29">
        <v>125</v>
      </c>
      <c r="F11" s="31">
        <f t="shared" si="2"/>
        <v>196.5</v>
      </c>
      <c r="G11" s="38"/>
      <c r="H11" s="33">
        <f t="shared" si="3"/>
        <v>196.5</v>
      </c>
      <c r="I11" s="34">
        <v>3</v>
      </c>
      <c r="J11" s="35">
        <v>47</v>
      </c>
      <c r="K11" s="35">
        <f t="shared" si="0"/>
        <v>197</v>
      </c>
      <c r="L11" s="36">
        <f t="shared" si="1"/>
        <v>125</v>
      </c>
      <c r="M11" s="36">
        <v>0</v>
      </c>
      <c r="N11" s="37" t="e">
        <f>+H11-#REF!</f>
        <v>#REF!</v>
      </c>
    </row>
    <row r="12" spans="1:17" ht="26.4" thickBot="1" x14ac:dyDescent="0.35">
      <c r="A12" s="27" t="s">
        <v>27</v>
      </c>
      <c r="B12" s="28" t="s">
        <v>20</v>
      </c>
      <c r="C12" s="29">
        <f t="shared" si="5"/>
        <v>99</v>
      </c>
      <c r="D12" s="30">
        <v>1498</v>
      </c>
      <c r="E12" s="29">
        <v>125</v>
      </c>
      <c r="F12" s="31">
        <f t="shared" si="2"/>
        <v>187.25</v>
      </c>
      <c r="G12" s="38"/>
      <c r="H12" s="33">
        <f t="shared" si="3"/>
        <v>187.25</v>
      </c>
      <c r="I12" s="34">
        <v>3</v>
      </c>
      <c r="J12" s="35">
        <v>37</v>
      </c>
      <c r="K12" s="35">
        <f t="shared" si="0"/>
        <v>187</v>
      </c>
      <c r="L12" s="36">
        <f t="shared" si="1"/>
        <v>125</v>
      </c>
      <c r="M12" s="36">
        <v>0</v>
      </c>
      <c r="N12" s="37" t="e">
        <f>+H12-#REF!</f>
        <v>#REF!</v>
      </c>
    </row>
    <row r="13" spans="1:17" ht="26.4" thickBot="1" x14ac:dyDescent="0.35">
      <c r="A13" s="27" t="s">
        <v>28</v>
      </c>
      <c r="B13" s="28" t="s">
        <v>20</v>
      </c>
      <c r="C13" s="29">
        <f t="shared" si="5"/>
        <v>99</v>
      </c>
      <c r="D13" s="30">
        <v>1490</v>
      </c>
      <c r="E13" s="29">
        <v>125</v>
      </c>
      <c r="F13" s="31">
        <f t="shared" si="2"/>
        <v>186.25</v>
      </c>
      <c r="G13" s="38"/>
      <c r="H13" s="33">
        <f t="shared" si="3"/>
        <v>186.25</v>
      </c>
      <c r="I13" s="34">
        <v>3</v>
      </c>
      <c r="J13" s="35">
        <v>36</v>
      </c>
      <c r="K13" s="35">
        <f t="shared" si="0"/>
        <v>186</v>
      </c>
      <c r="L13" s="36">
        <f t="shared" si="1"/>
        <v>125</v>
      </c>
      <c r="M13" s="36">
        <v>0</v>
      </c>
      <c r="N13" s="37" t="e">
        <f>+H13-#REF!</f>
        <v>#REF!</v>
      </c>
    </row>
    <row r="14" spans="1:17" ht="26.4" thickBot="1" x14ac:dyDescent="0.35">
      <c r="A14" s="27" t="s">
        <v>29</v>
      </c>
      <c r="B14" s="28" t="s">
        <v>20</v>
      </c>
      <c r="C14" s="29">
        <f t="shared" si="5"/>
        <v>99</v>
      </c>
      <c r="D14" s="30">
        <v>1575</v>
      </c>
      <c r="E14" s="29">
        <v>125</v>
      </c>
      <c r="F14" s="31">
        <f t="shared" si="2"/>
        <v>196.875</v>
      </c>
      <c r="G14" s="38"/>
      <c r="H14" s="33">
        <f t="shared" si="3"/>
        <v>196.875</v>
      </c>
      <c r="I14" s="34">
        <v>3</v>
      </c>
      <c r="J14" s="35">
        <v>47</v>
      </c>
      <c r="K14" s="35">
        <f t="shared" si="0"/>
        <v>197</v>
      </c>
      <c r="L14" s="36">
        <f t="shared" si="1"/>
        <v>125</v>
      </c>
      <c r="M14" s="36">
        <v>0</v>
      </c>
      <c r="N14" s="37" t="e">
        <f>+H14-#REF!</f>
        <v>#REF!</v>
      </c>
    </row>
    <row r="15" spans="1:17" ht="26.4" thickBot="1" x14ac:dyDescent="0.35">
      <c r="A15" s="27" t="s">
        <v>30</v>
      </c>
      <c r="B15" s="28" t="s">
        <v>20</v>
      </c>
      <c r="C15" s="29">
        <f t="shared" si="5"/>
        <v>99</v>
      </c>
      <c r="D15" s="30">
        <v>1195</v>
      </c>
      <c r="E15" s="29">
        <v>125</v>
      </c>
      <c r="F15" s="31">
        <f t="shared" si="2"/>
        <v>149.375</v>
      </c>
      <c r="G15" s="38"/>
      <c r="H15" s="33">
        <f t="shared" si="3"/>
        <v>149.375</v>
      </c>
      <c r="I15" s="34">
        <v>2</v>
      </c>
      <c r="J15" s="35">
        <v>49</v>
      </c>
      <c r="K15" s="35">
        <f t="shared" si="0"/>
        <v>149</v>
      </c>
      <c r="L15" s="36">
        <f t="shared" si="1"/>
        <v>125</v>
      </c>
      <c r="M15" s="36"/>
      <c r="N15" s="37" t="e">
        <f>+H15-#REF!</f>
        <v>#REF!</v>
      </c>
    </row>
    <row r="16" spans="1:17" ht="26.4" thickBot="1" x14ac:dyDescent="0.35">
      <c r="A16" s="39" t="s">
        <v>31</v>
      </c>
      <c r="B16" s="28" t="s">
        <v>20</v>
      </c>
      <c r="C16" s="29">
        <f t="shared" si="5"/>
        <v>99</v>
      </c>
      <c r="D16" s="30">
        <v>1183</v>
      </c>
      <c r="E16" s="29">
        <v>125</v>
      </c>
      <c r="F16" s="31">
        <f t="shared" si="2"/>
        <v>147.875</v>
      </c>
      <c r="G16" s="38"/>
      <c r="H16" s="33">
        <f t="shared" si="3"/>
        <v>147.875</v>
      </c>
      <c r="I16" s="34">
        <v>2</v>
      </c>
      <c r="J16" s="35">
        <v>48</v>
      </c>
      <c r="K16" s="35">
        <f t="shared" si="0"/>
        <v>148</v>
      </c>
      <c r="L16" s="36">
        <f t="shared" si="1"/>
        <v>125</v>
      </c>
      <c r="M16" s="36"/>
      <c r="N16" s="37" t="e">
        <f>+H16-#REF!</f>
        <v>#REF!</v>
      </c>
    </row>
    <row r="17" spans="1:14" ht="26.4" thickBot="1" x14ac:dyDescent="0.35">
      <c r="A17" s="27" t="s">
        <v>32</v>
      </c>
      <c r="B17" s="28" t="s">
        <v>20</v>
      </c>
      <c r="C17" s="29">
        <f t="shared" si="5"/>
        <v>99</v>
      </c>
      <c r="D17" s="30">
        <v>903</v>
      </c>
      <c r="E17" s="29">
        <v>125</v>
      </c>
      <c r="F17" s="31">
        <f t="shared" si="2"/>
        <v>112.875</v>
      </c>
      <c r="G17" s="38"/>
      <c r="H17" s="33">
        <f t="shared" si="3"/>
        <v>112.875</v>
      </c>
      <c r="I17" s="34">
        <v>2</v>
      </c>
      <c r="J17" s="35">
        <v>13</v>
      </c>
      <c r="K17" s="35">
        <f t="shared" si="0"/>
        <v>113</v>
      </c>
      <c r="L17" s="36">
        <f t="shared" si="1"/>
        <v>125</v>
      </c>
      <c r="M17" s="36"/>
      <c r="N17" s="37" t="e">
        <f>+H17-#REF!</f>
        <v>#REF!</v>
      </c>
    </row>
    <row r="18" spans="1:14" ht="26.4" thickBot="1" x14ac:dyDescent="0.35">
      <c r="A18" s="27" t="s">
        <v>33</v>
      </c>
      <c r="B18" s="28" t="s">
        <v>20</v>
      </c>
      <c r="C18" s="29">
        <f t="shared" si="5"/>
        <v>99</v>
      </c>
      <c r="D18" s="30">
        <v>892</v>
      </c>
      <c r="E18" s="29">
        <v>125</v>
      </c>
      <c r="F18" s="31">
        <f t="shared" si="2"/>
        <v>111.5</v>
      </c>
      <c r="G18" s="38"/>
      <c r="H18" s="33">
        <f t="shared" si="3"/>
        <v>111.5</v>
      </c>
      <c r="I18" s="34">
        <v>2</v>
      </c>
      <c r="J18" s="35">
        <v>12</v>
      </c>
      <c r="K18" s="35">
        <f t="shared" si="0"/>
        <v>112</v>
      </c>
      <c r="L18" s="36">
        <f t="shared" si="1"/>
        <v>125</v>
      </c>
      <c r="M18" s="36"/>
      <c r="N18" s="37" t="e">
        <f>+H18-#REF!</f>
        <v>#REF!</v>
      </c>
    </row>
    <row r="19" spans="1:14" ht="26.4" thickBot="1" x14ac:dyDescent="0.35">
      <c r="A19" s="27" t="s">
        <v>34</v>
      </c>
      <c r="B19" s="28" t="s">
        <v>20</v>
      </c>
      <c r="C19" s="29">
        <f t="shared" si="5"/>
        <v>99</v>
      </c>
      <c r="D19" s="30">
        <v>909</v>
      </c>
      <c r="E19" s="29">
        <v>125</v>
      </c>
      <c r="F19" s="40">
        <f t="shared" si="2"/>
        <v>113.625</v>
      </c>
      <c r="G19" s="32"/>
      <c r="H19" s="33">
        <f t="shared" si="3"/>
        <v>113.625</v>
      </c>
      <c r="I19" s="41">
        <v>2</v>
      </c>
      <c r="J19" s="35">
        <v>14</v>
      </c>
      <c r="K19" s="35">
        <f t="shared" si="0"/>
        <v>114</v>
      </c>
      <c r="L19" s="36">
        <f t="shared" si="1"/>
        <v>125</v>
      </c>
      <c r="M19" s="36">
        <v>0</v>
      </c>
      <c r="N19" s="37" t="e">
        <f>+H19-#REF!</f>
        <v>#REF!</v>
      </c>
    </row>
    <row r="20" spans="1:14" ht="15" thickBot="1" x14ac:dyDescent="0.35">
      <c r="A20" s="42" t="s">
        <v>35</v>
      </c>
      <c r="B20" s="43"/>
      <c r="C20" s="44"/>
      <c r="D20" s="45"/>
      <c r="E20" s="45"/>
      <c r="F20" s="46">
        <f t="shared" ref="F20:J20" si="6">+SUM(F6:F19)</f>
        <v>1914.625</v>
      </c>
      <c r="G20" s="46">
        <f t="shared" si="6"/>
        <v>0</v>
      </c>
      <c r="H20" s="46">
        <f t="shared" si="6"/>
        <v>1914.625</v>
      </c>
      <c r="I20" s="46">
        <f t="shared" si="6"/>
        <v>29</v>
      </c>
      <c r="J20" s="46">
        <f t="shared" si="6"/>
        <v>465</v>
      </c>
      <c r="K20" s="46">
        <f>+SUM(K6:K19)</f>
        <v>1915</v>
      </c>
      <c r="L20" s="47">
        <v>120</v>
      </c>
      <c r="M20" s="45">
        <v>0</v>
      </c>
      <c r="N20" s="37" t="e">
        <f>+H20-#REF!</f>
        <v>#REF!</v>
      </c>
    </row>
    <row r="21" spans="1:14" x14ac:dyDescent="0.3">
      <c r="A21" s="6"/>
      <c r="B21" s="6"/>
      <c r="C21" s="6"/>
      <c r="D21" s="6"/>
      <c r="E21" s="6"/>
      <c r="F21" s="48"/>
      <c r="G21" s="48"/>
      <c r="H21" s="48"/>
      <c r="I21" s="49"/>
      <c r="J21" s="48"/>
      <c r="K21" s="50">
        <v>451.08</v>
      </c>
      <c r="L21" s="51" t="s">
        <v>36</v>
      </c>
      <c r="M21" s="6"/>
    </row>
    <row r="22" spans="1:14" ht="15.6" x14ac:dyDescent="0.3">
      <c r="A22" s="52" t="s">
        <v>37</v>
      </c>
      <c r="B22" s="52"/>
      <c r="C22" s="52"/>
      <c r="D22" s="6"/>
      <c r="E22" s="6"/>
      <c r="F22" s="48"/>
      <c r="G22" s="48"/>
      <c r="H22" s="48"/>
      <c r="I22" s="49"/>
      <c r="J22" s="6"/>
      <c r="K22" s="50"/>
      <c r="L22" s="51"/>
      <c r="M22" s="6"/>
    </row>
    <row r="23" spans="1:14" ht="15.6" x14ac:dyDescent="0.3">
      <c r="A23" s="53"/>
      <c r="B23" s="6"/>
      <c r="C23" s="6"/>
      <c r="D23" s="6"/>
      <c r="E23" s="6"/>
      <c r="F23" s="48"/>
      <c r="G23" s="48"/>
      <c r="H23" s="48"/>
      <c r="I23" s="49"/>
      <c r="J23" s="6"/>
      <c r="K23" s="50"/>
      <c r="L23" s="51"/>
      <c r="M23" s="6"/>
    </row>
    <row r="24" spans="1:14" x14ac:dyDescent="0.3">
      <c r="A24" s="54" t="s">
        <v>38</v>
      </c>
      <c r="B24" s="55" t="s">
        <v>39</v>
      </c>
      <c r="C24" s="55" t="s">
        <v>40</v>
      </c>
      <c r="D24" s="56" t="s">
        <v>41</v>
      </c>
      <c r="E24" s="57" t="s">
        <v>42</v>
      </c>
      <c r="F24" s="58"/>
      <c r="G24" s="6"/>
      <c r="H24" s="48"/>
      <c r="I24" s="49"/>
      <c r="J24" s="6"/>
      <c r="K24" s="11"/>
      <c r="L24" s="6"/>
      <c r="M24" s="6"/>
      <c r="N24" s="6"/>
    </row>
    <row r="25" spans="1:14" x14ac:dyDescent="0.3">
      <c r="A25" s="59" t="s">
        <v>43</v>
      </c>
      <c r="B25" s="60"/>
      <c r="C25" s="60"/>
      <c r="D25" s="61"/>
      <c r="E25" s="62">
        <f t="shared" ref="E25:E30" si="7">+B25-D25</f>
        <v>0</v>
      </c>
      <c r="F25" s="63"/>
      <c r="G25" s="6"/>
      <c r="H25" s="48"/>
      <c r="I25" s="49"/>
      <c r="J25" s="6"/>
      <c r="K25" s="11"/>
      <c r="L25" s="6"/>
      <c r="M25" s="6"/>
      <c r="N25" s="6"/>
    </row>
    <row r="26" spans="1:14" x14ac:dyDescent="0.3">
      <c r="A26" s="59" t="s">
        <v>44</v>
      </c>
      <c r="B26" s="60"/>
      <c r="C26" s="60"/>
      <c r="D26" s="61"/>
      <c r="E26" s="62">
        <f t="shared" si="7"/>
        <v>0</v>
      </c>
      <c r="F26" s="63"/>
      <c r="G26" s="6"/>
      <c r="H26" s="48"/>
      <c r="I26" s="49"/>
      <c r="J26" s="6"/>
      <c r="K26" s="11"/>
      <c r="L26" s="6"/>
      <c r="M26" s="6"/>
      <c r="N26" s="6"/>
    </row>
    <row r="27" spans="1:14" x14ac:dyDescent="0.3">
      <c r="A27" s="64" t="s">
        <v>45</v>
      </c>
      <c r="B27" s="65">
        <f>+F6+F7+F8+F9+F10+F11+F12+F13+F14+F15+F16+F17+F18+F19</f>
        <v>1914.625</v>
      </c>
      <c r="C27" s="65"/>
      <c r="D27" s="66">
        <f>+C27-B27</f>
        <v>-1914.625</v>
      </c>
      <c r="E27" s="67">
        <f t="shared" ref="E27:E29" si="8">B27-D27</f>
        <v>3829.25</v>
      </c>
      <c r="F27" s="68"/>
      <c r="G27" s="6"/>
      <c r="H27" s="69"/>
      <c r="I27" s="49"/>
      <c r="J27" s="6"/>
      <c r="K27" s="11"/>
      <c r="L27" s="6"/>
      <c r="M27" s="6"/>
      <c r="N27" s="6"/>
    </row>
    <row r="28" spans="1:14" x14ac:dyDescent="0.3">
      <c r="A28" s="59" t="s">
        <v>46</v>
      </c>
      <c r="B28" s="60"/>
      <c r="C28" s="60"/>
      <c r="D28" s="61"/>
      <c r="E28" s="62">
        <f t="shared" si="8"/>
        <v>0</v>
      </c>
      <c r="F28" s="63"/>
      <c r="G28" s="6"/>
      <c r="H28" s="69"/>
      <c r="I28" s="49"/>
      <c r="J28" s="6"/>
      <c r="K28" s="11"/>
      <c r="L28" s="6"/>
      <c r="M28" s="6"/>
      <c r="N28" s="6"/>
    </row>
    <row r="29" spans="1:14" x14ac:dyDescent="0.3">
      <c r="A29" s="70" t="s">
        <v>47</v>
      </c>
      <c r="B29" s="71"/>
      <c r="C29" s="71"/>
      <c r="D29" s="72"/>
      <c r="E29" s="73">
        <f t="shared" si="8"/>
        <v>0</v>
      </c>
      <c r="F29" s="74"/>
      <c r="G29" s="6"/>
      <c r="H29" s="48"/>
      <c r="I29" s="49"/>
      <c r="J29" s="6"/>
      <c r="K29" s="11"/>
      <c r="L29" s="6"/>
      <c r="M29" s="6"/>
      <c r="N29" s="6"/>
    </row>
    <row r="30" spans="1:14" x14ac:dyDescent="0.3">
      <c r="A30" s="59" t="s">
        <v>48</v>
      </c>
      <c r="B30" s="75"/>
      <c r="C30" s="75"/>
      <c r="D30" s="76"/>
      <c r="E30" s="77">
        <f t="shared" si="7"/>
        <v>0</v>
      </c>
      <c r="F30" s="78"/>
      <c r="G30" s="6"/>
      <c r="H30" s="48"/>
      <c r="I30" s="49"/>
      <c r="J30" s="6"/>
      <c r="K30" s="11"/>
      <c r="L30" s="6"/>
      <c r="M30" s="6"/>
      <c r="N30" s="6"/>
    </row>
    <row r="31" spans="1:14" x14ac:dyDescent="0.3">
      <c r="A31" s="79"/>
      <c r="B31" s="80"/>
      <c r="C31" s="80"/>
      <c r="D31" s="79"/>
      <c r="E31" s="79"/>
      <c r="F31" s="79"/>
      <c r="G31" s="79"/>
      <c r="H31" s="81"/>
      <c r="I31" s="82"/>
      <c r="J31" s="79"/>
      <c r="K31" s="83"/>
      <c r="L31" s="79"/>
      <c r="M31" s="79"/>
      <c r="N31" s="79"/>
    </row>
    <row r="32" spans="1:14" x14ac:dyDescent="0.3">
      <c r="A32" s="51" t="s">
        <v>49</v>
      </c>
      <c r="B32" s="51"/>
      <c r="C32" s="84" t="s">
        <v>50</v>
      </c>
      <c r="D32" s="84"/>
      <c r="E32" s="51"/>
      <c r="F32" s="51"/>
      <c r="G32" s="84" t="s">
        <v>51</v>
      </c>
      <c r="H32" s="84"/>
      <c r="I32" s="84"/>
      <c r="J32" s="51"/>
      <c r="K32" s="51"/>
      <c r="L32" s="84" t="s">
        <v>52</v>
      </c>
      <c r="M32" s="84"/>
      <c r="N32" s="6"/>
    </row>
    <row r="33" spans="1:21" x14ac:dyDescent="0.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6"/>
    </row>
    <row r="34" spans="1:21" x14ac:dyDescent="0.3">
      <c r="A34" s="51"/>
      <c r="B34" s="51" t="s">
        <v>53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6"/>
    </row>
    <row r="35" spans="1:21" x14ac:dyDescent="0.3">
      <c r="A35" s="6"/>
      <c r="C35" s="51" t="s">
        <v>54</v>
      </c>
      <c r="D35" s="51"/>
      <c r="E35" s="51"/>
      <c r="F35" s="51"/>
      <c r="G35" s="84" t="s">
        <v>55</v>
      </c>
      <c r="H35" s="84"/>
      <c r="I35" s="84"/>
      <c r="J35" s="51"/>
      <c r="K35" s="51"/>
      <c r="L35" s="84" t="s">
        <v>56</v>
      </c>
      <c r="M35" s="84"/>
      <c r="N35" s="6"/>
    </row>
    <row r="36" spans="1:21" x14ac:dyDescent="0.3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</row>
    <row r="37" spans="1:21" ht="27.75" customHeight="1" x14ac:dyDescent="0.3">
      <c r="Q37" s="86" t="s">
        <v>45</v>
      </c>
      <c r="R37" s="87"/>
      <c r="S37" s="87"/>
      <c r="T37" s="88"/>
    </row>
    <row r="38" spans="1:21" ht="55.2" x14ac:dyDescent="0.3">
      <c r="Q38" s="89" t="s">
        <v>4</v>
      </c>
      <c r="R38" s="90" t="s">
        <v>57</v>
      </c>
      <c r="S38" s="90" t="s">
        <v>58</v>
      </c>
      <c r="T38" s="90" t="s">
        <v>59</v>
      </c>
    </row>
    <row r="39" spans="1:21" ht="51" x14ac:dyDescent="0.3">
      <c r="Q39" s="89" t="s">
        <v>60</v>
      </c>
      <c r="R39" s="91">
        <v>77.375</v>
      </c>
      <c r="S39" s="92">
        <v>1</v>
      </c>
      <c r="T39" s="92">
        <v>27</v>
      </c>
      <c r="U39" s="2">
        <v>78</v>
      </c>
    </row>
    <row r="40" spans="1:21" ht="51" x14ac:dyDescent="0.3">
      <c r="Q40" s="89" t="s">
        <v>61</v>
      </c>
      <c r="R40" s="91">
        <v>77.75</v>
      </c>
      <c r="S40" s="92">
        <v>1</v>
      </c>
      <c r="T40" s="92">
        <v>28</v>
      </c>
      <c r="U40" s="2">
        <v>81</v>
      </c>
    </row>
    <row r="41" spans="1:21" ht="51" x14ac:dyDescent="0.3">
      <c r="Q41" s="89" t="s">
        <v>62</v>
      </c>
      <c r="R41" s="91">
        <v>76.375</v>
      </c>
      <c r="S41" s="92">
        <v>1</v>
      </c>
      <c r="T41" s="92">
        <v>26</v>
      </c>
      <c r="U41" s="2">
        <v>78</v>
      </c>
    </row>
    <row r="42" spans="1:21" ht="51.6" thickBot="1" x14ac:dyDescent="0.35">
      <c r="Q42" s="89" t="s">
        <v>63</v>
      </c>
      <c r="R42" s="91">
        <v>81.875</v>
      </c>
      <c r="S42" s="92">
        <v>1</v>
      </c>
      <c r="T42" s="92">
        <v>32</v>
      </c>
      <c r="U42" s="2">
        <v>81</v>
      </c>
    </row>
    <row r="43" spans="1:21" ht="51.6" thickBot="1" x14ac:dyDescent="0.35">
      <c r="Q43" s="93" t="s">
        <v>64</v>
      </c>
      <c r="R43" s="91">
        <v>199.125</v>
      </c>
      <c r="S43" s="92">
        <v>3</v>
      </c>
      <c r="T43" s="92">
        <v>49</v>
      </c>
      <c r="U43" s="2">
        <v>206</v>
      </c>
    </row>
    <row r="44" spans="1:21" ht="51.6" thickBot="1" x14ac:dyDescent="0.35">
      <c r="Q44" s="93" t="s">
        <v>65</v>
      </c>
      <c r="R44" s="91">
        <v>196.5</v>
      </c>
      <c r="S44" s="92">
        <v>3</v>
      </c>
      <c r="T44" s="92">
        <v>47</v>
      </c>
      <c r="U44" s="2">
        <v>201</v>
      </c>
    </row>
    <row r="45" spans="1:21" ht="51.6" thickBot="1" x14ac:dyDescent="0.35">
      <c r="Q45" s="93" t="s">
        <v>66</v>
      </c>
      <c r="R45" s="91">
        <v>187.25</v>
      </c>
      <c r="S45" s="92">
        <v>3</v>
      </c>
      <c r="T45" s="92">
        <v>37</v>
      </c>
      <c r="U45" s="2">
        <v>195</v>
      </c>
    </row>
    <row r="46" spans="1:21" ht="51.6" thickBot="1" x14ac:dyDescent="0.35">
      <c r="Q46" s="93" t="s">
        <v>67</v>
      </c>
      <c r="R46" s="91">
        <v>186.25</v>
      </c>
      <c r="S46" s="92">
        <v>3</v>
      </c>
      <c r="T46" s="92">
        <v>36</v>
      </c>
      <c r="U46" s="2">
        <v>194</v>
      </c>
    </row>
    <row r="47" spans="1:21" ht="51.6" thickBot="1" x14ac:dyDescent="0.35">
      <c r="Q47" s="93" t="s">
        <v>68</v>
      </c>
      <c r="R47" s="91">
        <v>196.875</v>
      </c>
      <c r="S47" s="92">
        <v>3</v>
      </c>
      <c r="T47" s="92">
        <v>47</v>
      </c>
      <c r="U47" s="2">
        <v>202</v>
      </c>
    </row>
    <row r="48" spans="1:21" ht="51.6" thickBot="1" x14ac:dyDescent="0.35">
      <c r="Q48" s="93" t="s">
        <v>69</v>
      </c>
      <c r="R48" s="91">
        <v>149.375</v>
      </c>
      <c r="S48" s="92">
        <v>2</v>
      </c>
      <c r="T48" s="92">
        <v>49</v>
      </c>
      <c r="U48" s="2">
        <v>153</v>
      </c>
    </row>
    <row r="49" spans="10:21" ht="51.6" thickBot="1" x14ac:dyDescent="0.35">
      <c r="Q49" s="94" t="s">
        <v>70</v>
      </c>
      <c r="R49" s="91">
        <v>147.875</v>
      </c>
      <c r="S49" s="92">
        <v>2</v>
      </c>
      <c r="T49" s="92">
        <v>48</v>
      </c>
      <c r="U49" s="2">
        <v>152</v>
      </c>
    </row>
    <row r="50" spans="10:21" ht="51.6" thickBot="1" x14ac:dyDescent="0.35">
      <c r="Q50" s="93" t="s">
        <v>71</v>
      </c>
      <c r="R50" s="91">
        <v>112.875</v>
      </c>
      <c r="S50" s="92">
        <v>2</v>
      </c>
      <c r="T50" s="92">
        <v>13</v>
      </c>
      <c r="U50" s="2">
        <v>115</v>
      </c>
    </row>
    <row r="51" spans="10:21" ht="51.6" thickBot="1" x14ac:dyDescent="0.35">
      <c r="J51" s="2" t="s">
        <v>21</v>
      </c>
      <c r="Q51" s="93" t="s">
        <v>72</v>
      </c>
      <c r="R51" s="91">
        <v>111.5</v>
      </c>
      <c r="S51" s="92">
        <v>2</v>
      </c>
      <c r="T51" s="92">
        <v>12</v>
      </c>
      <c r="U51" s="2">
        <v>116</v>
      </c>
    </row>
    <row r="52" spans="10:21" ht="51.6" thickBot="1" x14ac:dyDescent="0.35">
      <c r="Q52" s="93" t="s">
        <v>73</v>
      </c>
      <c r="R52" s="91">
        <v>113.625</v>
      </c>
      <c r="S52" s="95">
        <v>2</v>
      </c>
      <c r="T52" s="92">
        <v>14</v>
      </c>
      <c r="U52" s="2">
        <v>118</v>
      </c>
    </row>
    <row r="53" spans="10:21" ht="51" x14ac:dyDescent="0.85">
      <c r="Q53" s="96" t="s">
        <v>74</v>
      </c>
      <c r="R53" s="97">
        <f t="shared" ref="R53:S53" si="9">+SUM(R39:R52)</f>
        <v>1914.625</v>
      </c>
      <c r="S53" s="97">
        <f t="shared" si="9"/>
        <v>29</v>
      </c>
      <c r="T53" s="97">
        <f>+SUM(T39:T52)</f>
        <v>465</v>
      </c>
    </row>
  </sheetData>
  <mergeCells count="28">
    <mergeCell ref="C32:D32"/>
    <mergeCell ref="G32:I32"/>
    <mergeCell ref="L32:M32"/>
    <mergeCell ref="G35:I35"/>
    <mergeCell ref="L35:M35"/>
    <mergeCell ref="Q37:T37"/>
    <mergeCell ref="E25:F25"/>
    <mergeCell ref="E26:F26"/>
    <mergeCell ref="E27:F27"/>
    <mergeCell ref="E28:F28"/>
    <mergeCell ref="E29:F29"/>
    <mergeCell ref="E30:F30"/>
    <mergeCell ref="L4:L5"/>
    <mergeCell ref="M4:M5"/>
    <mergeCell ref="N4:N5"/>
    <mergeCell ref="A20:C20"/>
    <mergeCell ref="A22:C22"/>
    <mergeCell ref="E24:F24"/>
    <mergeCell ref="A1:N1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2026-09-03T10:42:16Z</dcterms:created>
  <dcterms:modified xsi:type="dcterms:W3CDTF">2026-09-03T10:42:37Z</dcterms:modified>
</cp:coreProperties>
</file>