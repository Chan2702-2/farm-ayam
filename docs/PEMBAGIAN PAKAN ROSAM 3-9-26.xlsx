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LPH 3-9-26\"/>
    </mc:Choice>
  </mc:AlternateContent>
  <xr:revisionPtr revIDLastSave="0" documentId="8_{FA5F2F3D-126B-4A6B-A375-863CC98DAEE7}" xr6:coauthVersionLast="47" xr6:coauthVersionMax="47" xr10:uidLastSave="{00000000-0000-0000-0000-000000000000}"/>
  <bookViews>
    <workbookView xWindow="-108" yWindow="-108" windowWidth="23256" windowHeight="13176" xr2:uid="{6B954904-C314-4DC0-8470-E01A22B65987}"/>
  </bookViews>
  <sheets>
    <sheet name="3-9" sheetId="1" r:id="rId1"/>
  </sheets>
  <definedNames>
    <definedName name="_xlnm.Print_Area" localSheetId="0">'3-9'!$T$34:$W$61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60" i="1" l="1"/>
  <c r="W61" i="1" s="1"/>
  <c r="V60" i="1"/>
  <c r="V61" i="1" s="1"/>
  <c r="U60" i="1"/>
  <c r="U61" i="1" s="1"/>
  <c r="T38" i="1"/>
  <c r="G30" i="1"/>
  <c r="C29" i="1"/>
  <c r="C30" i="1" s="1"/>
  <c r="C28" i="1"/>
  <c r="N25" i="1"/>
  <c r="J25" i="1"/>
  <c r="I25" i="1"/>
  <c r="J26" i="1" s="1"/>
  <c r="G25" i="1"/>
  <c r="D25" i="1"/>
  <c r="K24" i="1"/>
  <c r="L24" i="1" s="1"/>
  <c r="M24" i="1" s="1"/>
  <c r="H24" i="1"/>
  <c r="O24" i="1" s="1"/>
  <c r="F24" i="1"/>
  <c r="C24" i="1"/>
  <c r="F23" i="1"/>
  <c r="K23" i="1" s="1"/>
  <c r="L23" i="1" s="1"/>
  <c r="M23" i="1" s="1"/>
  <c r="C23" i="1"/>
  <c r="K22" i="1"/>
  <c r="L22" i="1" s="1"/>
  <c r="M22" i="1" s="1"/>
  <c r="F22" i="1"/>
  <c r="H22" i="1" s="1"/>
  <c r="O22" i="1" s="1"/>
  <c r="K21" i="1"/>
  <c r="L21" i="1" s="1"/>
  <c r="M21" i="1" s="1"/>
  <c r="H21" i="1"/>
  <c r="O21" i="1" s="1"/>
  <c r="F21" i="1"/>
  <c r="F20" i="1"/>
  <c r="K20" i="1" s="1"/>
  <c r="L20" i="1" s="1"/>
  <c r="M20" i="1" s="1"/>
  <c r="M19" i="1"/>
  <c r="L19" i="1"/>
  <c r="K19" i="1"/>
  <c r="H19" i="1"/>
  <c r="O19" i="1" s="1"/>
  <c r="F19" i="1"/>
  <c r="F18" i="1"/>
  <c r="H18" i="1" s="1"/>
  <c r="O18" i="1" s="1"/>
  <c r="C18" i="1"/>
  <c r="C19" i="1" s="1"/>
  <c r="C20" i="1" s="1"/>
  <c r="C21" i="1" s="1"/>
  <c r="C22" i="1" s="1"/>
  <c r="K17" i="1"/>
  <c r="L17" i="1" s="1"/>
  <c r="M17" i="1" s="1"/>
  <c r="F17" i="1"/>
  <c r="H17" i="1" s="1"/>
  <c r="O17" i="1" s="1"/>
  <c r="K16" i="1"/>
  <c r="L16" i="1" s="1"/>
  <c r="M16" i="1" s="1"/>
  <c r="H16" i="1"/>
  <c r="O16" i="1" s="1"/>
  <c r="F16" i="1"/>
  <c r="F15" i="1"/>
  <c r="K15" i="1" s="1"/>
  <c r="L15" i="1" s="1"/>
  <c r="M15" i="1" s="1"/>
  <c r="C15" i="1"/>
  <c r="K14" i="1"/>
  <c r="L14" i="1" s="1"/>
  <c r="M14" i="1" s="1"/>
  <c r="F14" i="1"/>
  <c r="H14" i="1" s="1"/>
  <c r="O14" i="1" s="1"/>
  <c r="K13" i="1"/>
  <c r="L13" i="1" s="1"/>
  <c r="M13" i="1" s="1"/>
  <c r="H13" i="1"/>
  <c r="O13" i="1" s="1"/>
  <c r="F13" i="1"/>
  <c r="F12" i="1"/>
  <c r="K12" i="1" s="1"/>
  <c r="L12" i="1" s="1"/>
  <c r="M12" i="1" s="1"/>
  <c r="M11" i="1"/>
  <c r="L11" i="1"/>
  <c r="K11" i="1"/>
  <c r="H11" i="1"/>
  <c r="O11" i="1" s="1"/>
  <c r="F11" i="1"/>
  <c r="F10" i="1"/>
  <c r="H10" i="1" s="1"/>
  <c r="O10" i="1" s="1"/>
  <c r="K9" i="1"/>
  <c r="L9" i="1" s="1"/>
  <c r="M9" i="1" s="1"/>
  <c r="F9" i="1"/>
  <c r="H9" i="1" s="1"/>
  <c r="O9" i="1" s="1"/>
  <c r="F8" i="1"/>
  <c r="K8" i="1" s="1"/>
  <c r="L8" i="1" s="1"/>
  <c r="M8" i="1" s="1"/>
  <c r="F7" i="1"/>
  <c r="K7" i="1" s="1"/>
  <c r="C7" i="1"/>
  <c r="C8" i="1" s="1"/>
  <c r="C9" i="1" s="1"/>
  <c r="C10" i="1" s="1"/>
  <c r="C11" i="1" s="1"/>
  <c r="C12" i="1" s="1"/>
  <c r="C13" i="1" s="1"/>
  <c r="C14" i="1" s="1"/>
  <c r="O6" i="1"/>
  <c r="L6" i="1"/>
  <c r="L25" i="1" s="1"/>
  <c r="K6" i="1"/>
  <c r="H6" i="1"/>
  <c r="F6" i="1"/>
  <c r="F25" i="1" s="1"/>
  <c r="G26" i="1" s="1"/>
  <c r="L7" i="1" l="1"/>
  <c r="M7" i="1" s="1"/>
  <c r="C16" i="1"/>
  <c r="M6" i="1"/>
  <c r="M25" i="1" s="1"/>
  <c r="H8" i="1"/>
  <c r="O8" i="1" s="1"/>
  <c r="H7" i="1"/>
  <c r="O7" i="1" s="1"/>
  <c r="K10" i="1"/>
  <c r="L10" i="1" s="1"/>
  <c r="M10" i="1" s="1"/>
  <c r="K18" i="1"/>
  <c r="L18" i="1" s="1"/>
  <c r="M18" i="1" s="1"/>
  <c r="H15" i="1"/>
  <c r="O15" i="1" s="1"/>
  <c r="H23" i="1"/>
  <c r="O23" i="1" s="1"/>
  <c r="H12" i="1"/>
  <c r="O12" i="1" s="1"/>
  <c r="H20" i="1"/>
  <c r="O20" i="1" s="1"/>
  <c r="K25" i="1" l="1"/>
  <c r="H25" i="1"/>
  <c r="E28" i="1" l="1"/>
  <c r="E30" i="1" s="1"/>
  <c r="O25" i="1"/>
</calcChain>
</file>

<file path=xl/sharedStrings.xml><?xml version="1.0" encoding="utf-8"?>
<sst xmlns="http://schemas.openxmlformats.org/spreadsheetml/2006/main" count="98" uniqueCount="67">
  <si>
    <t>PEMBAGIAN PAKAN</t>
  </si>
  <si>
    <t>KANDANG ROSAM JUNI 2026</t>
  </si>
  <si>
    <t>Hari/Tanggal : KAMIS, 3 SEPTEMBER 2026</t>
  </si>
  <si>
    <t>KANDANG</t>
  </si>
  <si>
    <t xml:space="preserve">Jenis Pakan </t>
  </si>
  <si>
    <t xml:space="preserve">UMUR </t>
  </si>
  <si>
    <t>Jumlah ayam</t>
  </si>
  <si>
    <t>Konsumsi (GR)</t>
  </si>
  <si>
    <t>Jumlah pakan (KG)</t>
  </si>
  <si>
    <t xml:space="preserve">sisa </t>
  </si>
  <si>
    <t>Yang harus di Kirim</t>
  </si>
  <si>
    <t>pakan yg habis (gr)</t>
  </si>
  <si>
    <t>K0NS. REAL / ekor (gr)</t>
  </si>
  <si>
    <t>SELISIH kekurangan (gr) /ekor</t>
  </si>
  <si>
    <t>pengiriman</t>
  </si>
  <si>
    <t>Ket</t>
  </si>
  <si>
    <t>Kg</t>
  </si>
  <si>
    <t>sak</t>
  </si>
  <si>
    <t>penambahan (kg)</t>
  </si>
  <si>
    <t xml:space="preserve">1/ </t>
  </si>
  <si>
    <t xml:space="preserve">LAYER </t>
  </si>
  <si>
    <t>2/</t>
  </si>
  <si>
    <t>3/</t>
  </si>
  <si>
    <t>4/</t>
  </si>
  <si>
    <t>5/</t>
  </si>
  <si>
    <t>6/</t>
  </si>
  <si>
    <t>7/</t>
  </si>
  <si>
    <t>8/</t>
  </si>
  <si>
    <t>9/</t>
  </si>
  <si>
    <t>10/</t>
  </si>
  <si>
    <t>11/</t>
  </si>
  <si>
    <t>1kwt/ SYAFRIZAL (NOVOGEN)</t>
  </si>
  <si>
    <t>SPESIAL</t>
  </si>
  <si>
    <t>2/ SYAFRIZAL (NOVOGEN)</t>
  </si>
  <si>
    <t>3a/ SYAFRIZAL (NOVOGEN)</t>
  </si>
  <si>
    <t>4/ ANDREAN (NOVOGEN)</t>
  </si>
  <si>
    <t>5a/ ANDREAN (NOVOGEN)</t>
  </si>
  <si>
    <t>6/ ANDREAN (NOVOGEN)</t>
  </si>
  <si>
    <t>7/ ANDREAN (NOVOGEN)</t>
  </si>
  <si>
    <t>8A/ SYAFRIZAL (NOVOGEN)</t>
  </si>
  <si>
    <t>Total</t>
  </si>
  <si>
    <t xml:space="preserve">Total ayam </t>
  </si>
  <si>
    <t>Pakan yang harus dikirm</t>
  </si>
  <si>
    <t>GROWER</t>
  </si>
  <si>
    <t>NAIK</t>
  </si>
  <si>
    <t xml:space="preserve"> </t>
  </si>
  <si>
    <t>Dari kemaren</t>
  </si>
  <si>
    <t>INDUK</t>
  </si>
  <si>
    <t>total</t>
  </si>
  <si>
    <t xml:space="preserve">Ctt: </t>
  </si>
  <si>
    <t xml:space="preserve">Kepala Kandang </t>
  </si>
  <si>
    <t>Admin Area</t>
  </si>
  <si>
    <t>Sopir</t>
  </si>
  <si>
    <t>PEMBAGIAN PAKAN KANDANG ROSAM</t>
  </si>
  <si>
    <t>KD. KAYU</t>
  </si>
  <si>
    <t>LAYER</t>
  </si>
  <si>
    <t xml:space="preserve">kg </t>
  </si>
  <si>
    <t xml:space="preserve">                                                                             </t>
  </si>
  <si>
    <t>1kwt/ ARISMAN</t>
  </si>
  <si>
    <t>2/ ARISMAN</t>
  </si>
  <si>
    <t>3a/ ARISMAN</t>
  </si>
  <si>
    <t>4/ FADLI</t>
  </si>
  <si>
    <t>5a/FADLI</t>
  </si>
  <si>
    <t>6/ FADLI</t>
  </si>
  <si>
    <t>7/ FADLI</t>
  </si>
  <si>
    <t>8A/ ARISMAN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</si>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</sst>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,##0;[Red]#,##0"/>
    <numFmt numFmtId="167" formatCode="_(* #,##0.0_);_(* \(#,##0.0\);_(* &quot;-&quot;?_);_(@_)"/>
    <numFmt numFmtId="168" formatCode="_(* #,##0_);_(* \(#,##0\);_(* &quot;-&quot;?_);_(@_)"/>
    <numFmt numFmtId="169" formatCode="_(* #,##0_);_(* \(#,##0\);_(* &quot;-&quot;_);_(@_)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20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b/>
      <sz val="14"/>
      <name val="Times New Roman"/>
      <family val="1"/>
    </font>
    <font>
      <sz val="16"/>
      <name val="Calibri"/>
      <family val="2"/>
    </font>
    <font>
      <sz val="14"/>
      <name val="Times New Roman"/>
      <family val="1"/>
    </font>
    <font>
      <b/>
      <sz val="12"/>
      <name val="Times New Roman"/>
      <family val="1"/>
    </font>
    <font>
      <b/>
      <sz val="12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20"/>
      <name val="Calibri"/>
      <family val="2"/>
    </font>
    <font>
      <b/>
      <sz val="18"/>
      <name val="Calibri"/>
      <family val="2"/>
    </font>
    <font>
      <b/>
      <sz val="40"/>
      <name val="Calibri"/>
      <family val="2"/>
    </font>
    <font>
      <b/>
      <sz val="3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B9CCE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F253F"/>
      </bottom>
      <diagonal/>
    </border>
    <border>
      <left style="thin">
        <color rgb="FF0F253F"/>
      </left>
      <right style="thin">
        <color rgb="FF0F253F"/>
      </right>
      <top style="thin">
        <color rgb="FF0F253F"/>
      </top>
      <bottom style="thin">
        <color rgb="FF0F25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F253F"/>
      </left>
      <right/>
      <top style="thin">
        <color rgb="FF0F253F"/>
      </top>
      <bottom style="thin">
        <color rgb="FF0F253F"/>
      </bottom>
      <diagonal/>
    </border>
    <border>
      <left/>
      <right/>
      <top style="thin">
        <color rgb="FF0F25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F253F"/>
      </left>
      <right/>
      <top style="thin">
        <color rgb="FF0F253F"/>
      </top>
      <bottom/>
      <diagonal/>
    </border>
    <border>
      <left/>
      <right style="thin">
        <color indexed="64"/>
      </right>
      <top style="thin">
        <color rgb="FF0F253F"/>
      </top>
      <bottom/>
      <diagonal/>
    </border>
    <border>
      <left style="thin">
        <color rgb="FF0F253F"/>
      </left>
      <right/>
      <top/>
      <bottom style="thin">
        <color rgb="FF0F253F"/>
      </bottom>
      <diagonal/>
    </border>
    <border>
      <left/>
      <right style="thin">
        <color indexed="64"/>
      </right>
      <top/>
      <bottom style="thin">
        <color rgb="FF0F253F"/>
      </bottom>
      <diagonal/>
    </border>
    <border>
      <left style="thin">
        <color rgb="FF0F253F"/>
      </left>
      <right style="thin">
        <color rgb="FF0F253F"/>
      </right>
      <top style="thin">
        <color rgb="FF0F253F"/>
      </top>
      <bottom/>
      <diagonal/>
    </border>
    <border>
      <left/>
      <right/>
      <top style="thin">
        <color rgb="FF0F253F"/>
      </top>
      <bottom style="thin">
        <color rgb="FF0F253F"/>
      </bottom>
      <diagonal/>
    </border>
    <border>
      <left/>
      <right style="thin">
        <color indexed="64"/>
      </right>
      <top style="thin">
        <color rgb="FF0F253F"/>
      </top>
      <bottom style="thin">
        <color rgb="FF0F253F"/>
      </bottom>
      <diagonal/>
    </border>
    <border>
      <left style="thin">
        <color rgb="FF0F253F"/>
      </left>
      <right style="thin">
        <color rgb="FF0F253F"/>
      </right>
      <top/>
      <bottom style="thin">
        <color rgb="FF0F253F"/>
      </bottom>
      <diagonal/>
    </border>
    <border>
      <left style="thin">
        <color rgb="FF0F253F"/>
      </left>
      <right style="thin">
        <color indexed="64"/>
      </right>
      <top style="thin">
        <color rgb="FF0F253F"/>
      </top>
      <bottom style="thin">
        <color rgb="FF0F253F"/>
      </bottom>
      <diagonal/>
    </border>
  </borders>
  <cellStyleXfs count="6">
    <xf numFmtId="0" fontId="0" fillId="0" borderId="0"/>
    <xf numFmtId="0" fontId="1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5" fillId="6" borderId="0">
      <protection locked="0"/>
    </xf>
  </cellStyleXfs>
  <cellXfs count="115">
    <xf numFmtId="0" fontId="0" fillId="0" borderId="0" xfId="0"/>
    <xf numFmtId="0" fontId="2" fillId="0" borderId="0" xfId="1" applyFont="1" applyAlignment="1" applyProtection="1">
      <alignment horizontal="center" vertical="center" wrapText="1"/>
    </xf>
    <xf numFmtId="0" fontId="1" fillId="0" borderId="0" xfId="1" applyProtection="1"/>
    <xf numFmtId="0" fontId="3" fillId="2" borderId="1" xfId="1" applyFont="1" applyFill="1" applyBorder="1" applyAlignment="1" applyProtection="1">
      <alignment horizontal="center" vertical="center"/>
    </xf>
    <xf numFmtId="0" fontId="4" fillId="0" borderId="2" xfId="1" applyFont="1" applyBorder="1" applyAlignment="1" applyProtection="1">
      <alignment horizontal="center" vertical="center"/>
    </xf>
    <xf numFmtId="0" fontId="4" fillId="0" borderId="2" xfId="1" applyFont="1" applyBorder="1" applyAlignment="1" applyProtection="1">
      <alignment horizontal="center" vertical="center" wrapText="1"/>
    </xf>
    <xf numFmtId="164" fontId="4" fillId="0" borderId="2" xfId="1" applyNumberFormat="1" applyFont="1" applyBorder="1" applyAlignment="1" applyProtection="1">
      <alignment horizontal="center" vertical="center" wrapText="1"/>
    </xf>
    <xf numFmtId="3" fontId="4" fillId="0" borderId="2" xfId="1" applyNumberFormat="1" applyFont="1" applyBorder="1" applyAlignment="1" applyProtection="1">
      <alignment horizontal="center" vertical="center" wrapText="1"/>
    </xf>
    <xf numFmtId="164" fontId="4" fillId="0" borderId="2" xfId="1" applyNumberFormat="1" applyFont="1" applyBorder="1" applyAlignment="1" applyProtection="1">
      <alignment horizontal="center" vertical="center" wrapText="1"/>
    </xf>
    <xf numFmtId="0" fontId="4" fillId="0" borderId="2" xfId="1" applyFont="1" applyBorder="1" applyAlignment="1" applyProtection="1">
      <alignment horizontal="center" vertical="center" wrapText="1"/>
    </xf>
    <xf numFmtId="0" fontId="6" fillId="3" borderId="2" xfId="2" applyFont="1" applyFill="1" applyBorder="1" applyAlignment="1" applyProtection="1">
      <alignment horizontal="center" vertical="center" wrapText="1"/>
    </xf>
    <xf numFmtId="0" fontId="7" fillId="0" borderId="2" xfId="3" applyFont="1" applyBorder="1" applyAlignment="1" applyProtection="1">
      <alignment horizontal="center" vertical="center"/>
    </xf>
    <xf numFmtId="0" fontId="8" fillId="0" borderId="2" xfId="4" applyFont="1" applyBorder="1" applyAlignment="1" applyProtection="1">
      <alignment horizontal="center" vertical="center"/>
    </xf>
    <xf numFmtId="3" fontId="8" fillId="4" borderId="3" xfId="4" applyNumberFormat="1" applyFont="1" applyFill="1" applyBorder="1" applyAlignment="1" applyProtection="1">
      <alignment horizontal="center" vertical="center"/>
    </xf>
    <xf numFmtId="0" fontId="6" fillId="0" borderId="2" xfId="1" applyFont="1" applyBorder="1" applyAlignment="1" applyProtection="1">
      <alignment horizontal="center" vertical="center"/>
    </xf>
    <xf numFmtId="3" fontId="9" fillId="0" borderId="2" xfId="1" applyNumberFormat="1" applyFont="1" applyBorder="1" applyAlignment="1" applyProtection="1">
      <alignment horizontal="center" vertical="center"/>
    </xf>
    <xf numFmtId="165" fontId="10" fillId="0" borderId="2" xfId="1" applyNumberFormat="1" applyFont="1" applyBorder="1" applyAlignment="1" applyProtection="1">
      <alignment horizontal="center" vertical="center"/>
    </xf>
    <xf numFmtId="1" fontId="9" fillId="0" borderId="2" xfId="1" applyNumberFormat="1" applyFont="1" applyBorder="1" applyAlignment="1" applyProtection="1">
      <alignment horizontal="center" vertical="center"/>
    </xf>
    <xf numFmtId="164" fontId="9" fillId="0" borderId="2" xfId="1" applyNumberFormat="1" applyFont="1" applyBorder="1" applyAlignment="1" applyProtection="1">
      <alignment horizontal="center" vertical="center"/>
    </xf>
    <xf numFmtId="3" fontId="9" fillId="0" borderId="2" xfId="1" applyNumberFormat="1" applyFont="1" applyBorder="1" applyAlignment="1" applyProtection="1">
      <alignment horizontal="right" vertical="center"/>
    </xf>
    <xf numFmtId="166" fontId="3" fillId="0" borderId="2" xfId="1" applyNumberFormat="1" applyFont="1" applyBorder="1" applyProtection="1"/>
    <xf numFmtId="1" fontId="3" fillId="0" borderId="2" xfId="1" applyNumberFormat="1" applyFont="1" applyBorder="1" applyAlignment="1" applyProtection="1">
      <alignment horizontal="center"/>
    </xf>
    <xf numFmtId="167" fontId="4" fillId="0" borderId="2" xfId="1" applyNumberFormat="1" applyFont="1" applyBorder="1" applyProtection="1"/>
    <xf numFmtId="168" fontId="4" fillId="0" borderId="2" xfId="1" applyNumberFormat="1" applyFont="1" applyBorder="1" applyProtection="1"/>
    <xf numFmtId="1" fontId="4" fillId="0" borderId="2" xfId="1" applyNumberFormat="1" applyFont="1" applyBorder="1" applyProtection="1"/>
    <xf numFmtId="3" fontId="8" fillId="4" borderId="4" xfId="4" applyNumberFormat="1" applyFont="1" applyFill="1" applyBorder="1" applyAlignment="1" applyProtection="1">
      <alignment horizontal="center" vertical="center"/>
    </xf>
    <xf numFmtId="0" fontId="6" fillId="0" borderId="2" xfId="2" applyFont="1" applyBorder="1" applyAlignment="1" applyProtection="1">
      <alignment horizontal="center" vertical="center" wrapText="1"/>
    </xf>
    <xf numFmtId="0" fontId="6" fillId="5" borderId="2" xfId="3" applyFont="1" applyFill="1" applyBorder="1" applyAlignment="1" applyProtection="1">
      <alignment horizontal="center" vertical="center"/>
    </xf>
    <xf numFmtId="3" fontId="8" fillId="5" borderId="3" xfId="4" applyNumberFormat="1" applyFont="1" applyFill="1" applyBorder="1" applyAlignment="1" applyProtection="1">
      <alignment horizontal="center" vertical="center"/>
    </xf>
    <xf numFmtId="0" fontId="6" fillId="5" borderId="2" xfId="1" applyFont="1" applyFill="1" applyBorder="1" applyAlignment="1" applyProtection="1">
      <alignment horizontal="center" vertical="center"/>
    </xf>
    <xf numFmtId="3" fontId="9" fillId="5" borderId="2" xfId="1" applyNumberFormat="1" applyFont="1" applyFill="1" applyBorder="1" applyAlignment="1" applyProtection="1">
      <alignment horizontal="center" vertical="center"/>
    </xf>
    <xf numFmtId="1" fontId="9" fillId="5" borderId="2" xfId="1" applyNumberFormat="1" applyFont="1" applyFill="1" applyBorder="1" applyAlignment="1" applyProtection="1">
      <alignment horizontal="center" vertical="center"/>
    </xf>
    <xf numFmtId="164" fontId="9" fillId="5" borderId="2" xfId="1" applyNumberFormat="1" applyFont="1" applyFill="1" applyBorder="1" applyAlignment="1" applyProtection="1">
      <alignment horizontal="center" vertical="center"/>
    </xf>
    <xf numFmtId="168" fontId="9" fillId="5" borderId="2" xfId="1" applyNumberFormat="1" applyFont="1" applyFill="1" applyBorder="1" applyAlignment="1" applyProtection="1">
      <alignment horizontal="center" vertical="center"/>
    </xf>
    <xf numFmtId="49" fontId="11" fillId="7" borderId="2" xfId="5" applyNumberFormat="1" applyFont="1" applyFill="1" applyBorder="1" applyAlignment="1" applyProtection="1">
      <alignment horizontal="center" vertical="center"/>
    </xf>
    <xf numFmtId="1" fontId="12" fillId="7" borderId="2" xfId="1" applyNumberFormat="1" applyFont="1" applyFill="1" applyBorder="1" applyAlignment="1" applyProtection="1">
      <alignment horizontal="right"/>
    </xf>
    <xf numFmtId="3" fontId="12" fillId="7" borderId="2" xfId="1" applyNumberFormat="1" applyFont="1" applyFill="1" applyBorder="1" applyProtection="1"/>
    <xf numFmtId="3" fontId="13" fillId="7" borderId="2" xfId="1" applyNumberFormat="1" applyFont="1" applyFill="1" applyBorder="1" applyProtection="1"/>
    <xf numFmtId="3" fontId="12" fillId="0" borderId="2" xfId="1" applyNumberFormat="1" applyFont="1" applyBorder="1" applyProtection="1"/>
    <xf numFmtId="0" fontId="12" fillId="0" borderId="5" xfId="1" applyFont="1" applyBorder="1" applyAlignment="1" applyProtection="1">
      <alignment horizontal="left"/>
    </xf>
    <xf numFmtId="3" fontId="3" fillId="0" borderId="0" xfId="1" applyNumberFormat="1" applyFont="1" applyProtection="1"/>
    <xf numFmtId="0" fontId="3" fillId="0" borderId="0" xfId="1" applyFont="1" applyProtection="1"/>
    <xf numFmtId="0" fontId="4" fillId="0" borderId="0" xfId="1" applyFont="1" applyProtection="1"/>
    <xf numFmtId="0" fontId="14" fillId="8" borderId="6" xfId="1" applyFont="1" applyFill="1" applyBorder="1" applyProtection="1"/>
    <xf numFmtId="0" fontId="14" fillId="8" borderId="7" xfId="1" applyFont="1" applyFill="1" applyBorder="1" applyProtection="1"/>
    <xf numFmtId="0" fontId="14" fillId="8" borderId="3" xfId="1" applyFont="1" applyFill="1" applyBorder="1" applyAlignment="1" applyProtection="1">
      <alignment horizontal="center"/>
    </xf>
    <xf numFmtId="0" fontId="14" fillId="8" borderId="6" xfId="1" applyFont="1" applyFill="1" applyBorder="1" applyAlignment="1" applyProtection="1">
      <alignment horizontal="center"/>
    </xf>
    <xf numFmtId="0" fontId="14" fillId="8" borderId="7" xfId="1" applyFont="1" applyFill="1" applyBorder="1" applyAlignment="1" applyProtection="1">
      <alignment horizontal="center"/>
    </xf>
    <xf numFmtId="0" fontId="14" fillId="8" borderId="3" xfId="1" applyFont="1" applyFill="1" applyBorder="1" applyProtection="1"/>
    <xf numFmtId="0" fontId="15" fillId="8" borderId="3" xfId="1" applyFont="1" applyFill="1" applyBorder="1" applyAlignment="1" applyProtection="1">
      <alignment horizontal="center"/>
    </xf>
    <xf numFmtId="0" fontId="4" fillId="8" borderId="3" xfId="1" applyFont="1" applyFill="1" applyBorder="1" applyProtection="1"/>
    <xf numFmtId="0" fontId="12" fillId="0" borderId="6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1" fontId="14" fillId="5" borderId="6" xfId="1" applyNumberFormat="1" applyFont="1" applyFill="1" applyBorder="1" applyAlignment="1" applyProtection="1">
      <alignment horizontal="center" vertical="center"/>
    </xf>
    <xf numFmtId="1" fontId="14" fillId="5" borderId="8" xfId="1" applyNumberFormat="1" applyFont="1" applyFill="1" applyBorder="1" applyAlignment="1" applyProtection="1">
      <alignment horizontal="center" vertical="center"/>
    </xf>
    <xf numFmtId="1" fontId="14" fillId="5" borderId="9" xfId="1" applyNumberFormat="1" applyFont="1" applyFill="1" applyBorder="1" applyAlignment="1" applyProtection="1">
      <alignment horizontal="center" vertical="center"/>
    </xf>
    <xf numFmtId="1" fontId="14" fillId="5" borderId="10" xfId="1" applyNumberFormat="1" applyFont="1" applyFill="1" applyBorder="1" applyAlignment="1" applyProtection="1">
      <alignment horizontal="center" vertical="center"/>
    </xf>
    <xf numFmtId="3" fontId="15" fillId="5" borderId="11" xfId="1" applyNumberFormat="1" applyFont="1" applyFill="1" applyBorder="1" applyAlignment="1" applyProtection="1">
      <alignment horizontal="center" vertical="center"/>
    </xf>
    <xf numFmtId="3" fontId="15" fillId="5" borderId="6" xfId="1" applyNumberFormat="1" applyFont="1" applyFill="1" applyBorder="1" applyAlignment="1" applyProtection="1">
      <alignment horizontal="center" vertical="center"/>
    </xf>
    <xf numFmtId="3" fontId="15" fillId="5" borderId="8" xfId="1" applyNumberFormat="1" applyFont="1" applyFill="1" applyBorder="1" applyAlignment="1" applyProtection="1">
      <alignment horizontal="center" vertical="center"/>
    </xf>
    <xf numFmtId="3" fontId="15" fillId="5" borderId="3" xfId="1" applyNumberFormat="1" applyFont="1" applyFill="1" applyBorder="1" applyAlignment="1" applyProtection="1">
      <alignment vertical="center"/>
    </xf>
    <xf numFmtId="3" fontId="15" fillId="8" borderId="3" xfId="1" applyNumberFormat="1" applyFont="1" applyFill="1" applyBorder="1" applyAlignment="1" applyProtection="1">
      <alignment vertical="center"/>
    </xf>
    <xf numFmtId="0" fontId="14" fillId="8" borderId="3" xfId="1" applyFont="1" applyFill="1" applyBorder="1" applyAlignment="1" applyProtection="1">
      <alignment horizontal="center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8" xfId="1" applyFont="1" applyFill="1" applyBorder="1" applyAlignment="1" applyProtection="1">
      <alignment horizontal="center" vertical="center"/>
    </xf>
    <xf numFmtId="1" fontId="14" fillId="5" borderId="12" xfId="1" applyNumberFormat="1" applyFont="1" applyFill="1" applyBorder="1" applyAlignment="1" applyProtection="1">
      <alignment horizontal="center" vertical="center"/>
    </xf>
    <xf numFmtId="1" fontId="14" fillId="5" borderId="13" xfId="1" applyNumberFormat="1" applyFont="1" applyFill="1" applyBorder="1" applyAlignment="1" applyProtection="1">
      <alignment horizontal="center" vertical="center"/>
    </xf>
    <xf numFmtId="3" fontId="15" fillId="5" borderId="14" xfId="1" applyNumberFormat="1" applyFont="1" applyFill="1" applyBorder="1" applyAlignment="1" applyProtection="1">
      <alignment horizontal="center" vertical="center"/>
    </xf>
    <xf numFmtId="3" fontId="15" fillId="2" borderId="6" xfId="1" applyNumberFormat="1" applyFont="1" applyFill="1" applyBorder="1" applyAlignment="1" applyProtection="1">
      <alignment horizontal="center" vertical="center"/>
    </xf>
    <xf numFmtId="3" fontId="15" fillId="2" borderId="8" xfId="1" applyNumberFormat="1" applyFont="1" applyFill="1" applyBorder="1" applyAlignment="1" applyProtection="1">
      <alignment horizontal="center" vertical="center"/>
    </xf>
    <xf numFmtId="3" fontId="15" fillId="2" borderId="3" xfId="1" applyNumberFormat="1" applyFont="1" applyFill="1" applyBorder="1" applyAlignment="1" applyProtection="1">
      <alignment vertical="center"/>
    </xf>
    <xf numFmtId="3" fontId="15" fillId="9" borderId="3" xfId="1" applyNumberFormat="1" applyFont="1" applyFill="1" applyBorder="1" applyAlignment="1" applyProtection="1">
      <alignment vertical="center"/>
    </xf>
    <xf numFmtId="0" fontId="15" fillId="9" borderId="3" xfId="1" applyFont="1" applyFill="1" applyBorder="1" applyAlignment="1" applyProtection="1">
      <alignment horizontal="center"/>
    </xf>
    <xf numFmtId="0" fontId="14" fillId="9" borderId="3" xfId="1" applyFont="1" applyFill="1" applyBorder="1" applyAlignment="1" applyProtection="1">
      <alignment horizontal="center"/>
    </xf>
    <xf numFmtId="3" fontId="14" fillId="8" borderId="6" xfId="1" applyNumberFormat="1" applyFont="1" applyFill="1" applyBorder="1" applyAlignment="1" applyProtection="1">
      <alignment horizontal="center"/>
    </xf>
    <xf numFmtId="0" fontId="16" fillId="0" borderId="8" xfId="1" applyFont="1" applyBorder="1" applyProtection="1"/>
    <xf numFmtId="3" fontId="15" fillId="8" borderId="6" xfId="1" applyNumberFormat="1" applyFont="1" applyFill="1" applyBorder="1" applyAlignment="1" applyProtection="1">
      <alignment horizontal="center"/>
    </xf>
    <xf numFmtId="3" fontId="15" fillId="8" borderId="8" xfId="1" applyNumberFormat="1" applyFont="1" applyFill="1" applyBorder="1" applyAlignment="1" applyProtection="1">
      <alignment horizontal="center"/>
    </xf>
    <xf numFmtId="164" fontId="15" fillId="8" borderId="6" xfId="1" applyNumberFormat="1" applyFont="1" applyFill="1" applyBorder="1" applyAlignment="1" applyProtection="1">
      <alignment horizontal="center"/>
    </xf>
    <xf numFmtId="0" fontId="15" fillId="8" borderId="8" xfId="1" applyFont="1" applyFill="1" applyBorder="1" applyAlignment="1" applyProtection="1">
      <alignment horizontal="center"/>
    </xf>
    <xf numFmtId="0" fontId="15" fillId="8" borderId="6" xfId="1" applyFont="1" applyFill="1" applyBorder="1" applyAlignment="1" applyProtection="1">
      <alignment horizontal="center"/>
    </xf>
    <xf numFmtId="164" fontId="15" fillId="8" borderId="6" xfId="1" applyNumberFormat="1" applyFont="1" applyFill="1" applyBorder="1" applyProtection="1"/>
    <xf numFmtId="164" fontId="15" fillId="8" borderId="3" xfId="1" applyNumberFormat="1" applyFont="1" applyFill="1" applyBorder="1" applyAlignment="1" applyProtection="1">
      <alignment horizontal="center"/>
    </xf>
    <xf numFmtId="0" fontId="17" fillId="10" borderId="15" xfId="1" applyFont="1" applyFill="1" applyBorder="1" applyAlignment="1" applyProtection="1">
      <alignment horizontal="center"/>
    </xf>
    <xf numFmtId="3" fontId="4" fillId="0" borderId="0" xfId="1" applyNumberFormat="1" applyFont="1" applyProtection="1"/>
    <xf numFmtId="3" fontId="1" fillId="0" borderId="0" xfId="1" applyNumberFormat="1" applyProtection="1"/>
    <xf numFmtId="0" fontId="12" fillId="0" borderId="0" xfId="1" applyFont="1" applyProtection="1"/>
    <xf numFmtId="164" fontId="1" fillId="0" borderId="0" xfId="1" applyNumberFormat="1" applyProtection="1"/>
    <xf numFmtId="0" fontId="18" fillId="0" borderId="16" xfId="1" applyFont="1" applyBorder="1" applyAlignment="1" applyProtection="1">
      <alignment horizontal="center" vertical="center" wrapText="1"/>
    </xf>
    <xf numFmtId="0" fontId="18" fillId="0" borderId="5" xfId="1" applyFont="1" applyBorder="1" applyAlignment="1" applyProtection="1">
      <alignment horizontal="center" vertical="center" wrapText="1"/>
    </xf>
    <xf numFmtId="0" fontId="18" fillId="0" borderId="17" xfId="1" applyFont="1" applyBorder="1" applyAlignment="1" applyProtection="1">
      <alignment horizontal="center" vertical="center" wrapText="1"/>
    </xf>
    <xf numFmtId="0" fontId="18" fillId="0" borderId="18" xfId="1" applyFont="1" applyBorder="1" applyAlignment="1" applyProtection="1">
      <alignment horizontal="center" vertical="center" wrapText="1"/>
    </xf>
    <xf numFmtId="0" fontId="18" fillId="0" borderId="1" xfId="1" applyFont="1" applyBorder="1" applyAlignment="1" applyProtection="1">
      <alignment horizontal="center" vertical="center" wrapText="1"/>
    </xf>
    <xf numFmtId="0" fontId="18" fillId="0" borderId="19" xfId="1" applyFont="1" applyBorder="1" applyAlignment="1" applyProtection="1">
      <alignment horizontal="center" vertical="center" wrapText="1"/>
    </xf>
    <xf numFmtId="0" fontId="19" fillId="3" borderId="3" xfId="1" applyFont="1" applyFill="1" applyBorder="1" applyAlignment="1" applyProtection="1">
      <alignment horizontal="center" vertical="center"/>
    </xf>
    <xf numFmtId="0" fontId="18" fillId="0" borderId="20" xfId="1" applyFont="1" applyBorder="1" applyAlignment="1" applyProtection="1">
      <alignment horizontal="center" vertical="center" wrapText="1"/>
    </xf>
    <xf numFmtId="0" fontId="18" fillId="2" borderId="4" xfId="1" applyFont="1" applyFill="1" applyBorder="1" applyAlignment="1" applyProtection="1">
      <alignment horizontal="center" wrapText="1"/>
    </xf>
    <xf numFmtId="0" fontId="18" fillId="2" borderId="21" xfId="1" applyFont="1" applyFill="1" applyBorder="1" applyAlignment="1" applyProtection="1">
      <alignment horizontal="center" wrapText="1"/>
    </xf>
    <xf numFmtId="0" fontId="18" fillId="2" borderId="22" xfId="1" applyFont="1" applyFill="1" applyBorder="1" applyAlignment="1" applyProtection="1">
      <alignment horizontal="center" wrapText="1"/>
    </xf>
    <xf numFmtId="0" fontId="18" fillId="0" borderId="23" xfId="1" applyFont="1" applyBorder="1" applyAlignment="1" applyProtection="1">
      <alignment horizontal="center" vertical="center" wrapText="1"/>
    </xf>
    <xf numFmtId="0" fontId="18" fillId="0" borderId="2" xfId="1" applyFont="1" applyBorder="1" applyProtection="1"/>
    <xf numFmtId="0" fontId="18" fillId="0" borderId="24" xfId="1" applyFont="1" applyBorder="1" applyProtection="1"/>
    <xf numFmtId="0" fontId="11" fillId="3" borderId="2" xfId="2" applyFont="1" applyFill="1" applyBorder="1" applyAlignment="1" applyProtection="1">
      <alignment horizontal="center" vertical="center" wrapText="1"/>
    </xf>
    <xf numFmtId="1" fontId="20" fillId="0" borderId="2" xfId="1" applyNumberFormat="1" applyFont="1" applyBorder="1" applyAlignment="1" applyProtection="1">
      <alignment horizontal="center"/>
    </xf>
    <xf numFmtId="164" fontId="20" fillId="0" borderId="2" xfId="1" applyNumberFormat="1" applyFont="1" applyBorder="1" applyAlignment="1" applyProtection="1">
      <alignment horizontal="center"/>
    </xf>
    <xf numFmtId="3" fontId="20" fillId="0" borderId="2" xfId="1" applyNumberFormat="1" applyFont="1" applyBorder="1" applyProtection="1"/>
    <xf numFmtId="169" fontId="1" fillId="0" borderId="0" xfId="1" applyNumberFormat="1" applyProtection="1"/>
    <xf numFmtId="0" fontId="11" fillId="0" borderId="2" xfId="2" applyFont="1" applyBorder="1" applyAlignment="1" applyProtection="1">
      <alignment horizontal="center" vertical="center"/>
    </xf>
    <xf numFmtId="1" fontId="20" fillId="5" borderId="2" xfId="1" applyNumberFormat="1" applyFont="1" applyFill="1" applyBorder="1" applyAlignment="1" applyProtection="1">
      <alignment horizontal="center"/>
    </xf>
    <xf numFmtId="164" fontId="20" fillId="5" borderId="2" xfId="1" applyNumberFormat="1" applyFont="1" applyFill="1" applyBorder="1" applyAlignment="1" applyProtection="1">
      <alignment horizontal="center"/>
    </xf>
    <xf numFmtId="168" fontId="20" fillId="5" borderId="2" xfId="1" applyNumberFormat="1" applyFont="1" applyFill="1" applyBorder="1" applyProtection="1"/>
    <xf numFmtId="0" fontId="18" fillId="0" borderId="20" xfId="1" applyFont="1" applyBorder="1" applyProtection="1"/>
    <xf numFmtId="169" fontId="21" fillId="11" borderId="20" xfId="1" applyNumberFormat="1" applyFont="1" applyFill="1" applyBorder="1" applyProtection="1"/>
    <xf numFmtId="0" fontId="19" fillId="12" borderId="3" xfId="1" applyFont="1" applyFill="1" applyBorder="1" applyAlignment="1" applyProtection="1">
      <alignment horizontal="center" vertical="center"/>
    </xf>
    <xf numFmtId="169" fontId="21" fillId="12" borderId="3" xfId="1" applyNumberFormat="1" applyFont="1" applyFill="1" applyBorder="1" applyProtection="1"/>
  </cellXfs>
  <cellStyles count="6">
    <cellStyle name="40% - Accent6 2" xfId="5" xr:uid="{E6415652-1B80-427D-BB26-5B82C5A9A5C2}"/>
    <cellStyle name="Normal" xfId="0" builtinId="0"/>
    <cellStyle name="Normal 2 25 2 2 2" xfId="2" xr:uid="{81EB27ED-CE82-4DF7-A79F-1350351D27F4}"/>
    <cellStyle name="Normal 25 2 2" xfId="3" xr:uid="{B8CABA75-6E58-4CF0-B070-8E4A1A6C6480}"/>
    <cellStyle name="Normal 25 2 2 2" xfId="4" xr:uid="{BBC470E2-D9F4-43D4-9794-A867B107AE88}"/>
    <cellStyle name="Normal 3" xfId="1" xr:uid="{99536F86-4D1D-4B2B-B8BC-F2C86C3E3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26CE-6A52-4BB4-A87D-DCDA0438D674}">
  <dimension ref="A1:W62"/>
  <sheetViews>
    <sheetView tabSelected="1" zoomScale="50" zoomScaleNormal="50" workbookViewId="0">
      <selection activeCell="D21" sqref="D21"/>
    </sheetView>
  </sheetViews>
  <sheetFormatPr defaultColWidth="9.109375" defaultRowHeight="14.4" x14ac:dyDescent="0.3"/>
  <cols>
    <col min="1" max="1" width="20.44140625" style="2" customWidth="1"/>
    <col min="2" max="2" width="38.6640625" style="2" customWidth="1"/>
    <col min="3" max="3" width="13.109375" style="2" customWidth="1"/>
    <col min="4" max="6" width="15.6640625" style="2" customWidth="1"/>
    <col min="7" max="7" width="19.88671875" style="2" customWidth="1"/>
    <col min="8" max="15" width="15.6640625" style="2" customWidth="1"/>
    <col min="16" max="19" width="9.109375" style="2"/>
    <col min="20" max="23" width="23" style="2" customWidth="1"/>
    <col min="24" max="24" width="9.109375" style="2"/>
    <col min="25" max="28" width="23" style="2" customWidth="1"/>
    <col min="29" max="16384" width="9.109375" style="2"/>
  </cols>
  <sheetData>
    <row r="1" spans="1:15" ht="26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2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6" x14ac:dyDescent="0.3">
      <c r="A3" s="3" t="s">
        <v>2</v>
      </c>
      <c r="B3" s="3"/>
      <c r="C3" s="3"/>
      <c r="D3" s="3"/>
      <c r="E3" s="3"/>
    </row>
    <row r="4" spans="1:15" ht="15" customHeight="1" x14ac:dyDescent="0.3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6" t="s">
        <v>9</v>
      </c>
      <c r="H4" s="5" t="s">
        <v>10</v>
      </c>
      <c r="I4" s="5"/>
      <c r="J4" s="5"/>
      <c r="K4" s="7" t="s">
        <v>11</v>
      </c>
      <c r="L4" s="5" t="s">
        <v>12</v>
      </c>
      <c r="M4" s="5" t="s">
        <v>13</v>
      </c>
      <c r="N4" s="4" t="s">
        <v>14</v>
      </c>
      <c r="O4" s="4" t="s">
        <v>15</v>
      </c>
    </row>
    <row r="5" spans="1:15" ht="15" customHeight="1" x14ac:dyDescent="0.3">
      <c r="A5" s="4"/>
      <c r="B5" s="5"/>
      <c r="C5" s="5"/>
      <c r="D5" s="5"/>
      <c r="E5" s="5"/>
      <c r="F5" s="6"/>
      <c r="G5" s="6"/>
      <c r="H5" s="8" t="s">
        <v>16</v>
      </c>
      <c r="I5" s="8" t="s">
        <v>17</v>
      </c>
      <c r="J5" s="9" t="s">
        <v>18</v>
      </c>
      <c r="K5" s="7"/>
      <c r="L5" s="5"/>
      <c r="M5" s="5"/>
      <c r="N5" s="4"/>
      <c r="O5" s="4"/>
    </row>
    <row r="6" spans="1:15" ht="40.5" customHeight="1" x14ac:dyDescent="0.3">
      <c r="A6" s="10" t="s">
        <v>19</v>
      </c>
      <c r="B6" s="11" t="s">
        <v>20</v>
      </c>
      <c r="C6" s="12">
        <v>31</v>
      </c>
      <c r="D6" s="13">
        <v>940</v>
      </c>
      <c r="E6" s="14">
        <v>125</v>
      </c>
      <c r="F6" s="15">
        <f t="shared" ref="F6:F24" si="0">+E6*D6/1000</f>
        <v>117.5</v>
      </c>
      <c r="G6" s="16">
        <v>0</v>
      </c>
      <c r="H6" s="17">
        <f t="shared" ref="H6:H24" si="1">+F6-G6</f>
        <v>117.5</v>
      </c>
      <c r="I6" s="18">
        <v>2</v>
      </c>
      <c r="J6" s="19">
        <v>18</v>
      </c>
      <c r="K6" s="20">
        <f t="shared" ref="K6:K24" si="2">(F6-G6)*1000</f>
        <v>117500</v>
      </c>
      <c r="L6" s="21" t="e">
        <f>+K6/#REF!</f>
        <v>#REF!</v>
      </c>
      <c r="M6" s="22" t="e">
        <f>L6-#REF!</f>
        <v>#REF!</v>
      </c>
      <c r="N6" s="23"/>
      <c r="O6" s="24" t="e">
        <f>+H6-#REF!</f>
        <v>#REF!</v>
      </c>
    </row>
    <row r="7" spans="1:15" ht="40.5" customHeight="1" x14ac:dyDescent="0.3">
      <c r="A7" s="10" t="s">
        <v>21</v>
      </c>
      <c r="B7" s="11" t="s">
        <v>20</v>
      </c>
      <c r="C7" s="12">
        <f t="shared" ref="C7:C14" si="3">+C6</f>
        <v>31</v>
      </c>
      <c r="D7" s="13">
        <v>1319</v>
      </c>
      <c r="E7" s="14">
        <v>125</v>
      </c>
      <c r="F7" s="15">
        <f t="shared" si="0"/>
        <v>164.875</v>
      </c>
      <c r="G7" s="16">
        <v>0</v>
      </c>
      <c r="H7" s="17">
        <f t="shared" si="1"/>
        <v>164.875</v>
      </c>
      <c r="I7" s="18">
        <v>3</v>
      </c>
      <c r="J7" s="19">
        <v>15</v>
      </c>
      <c r="K7" s="20">
        <f t="shared" si="2"/>
        <v>164875</v>
      </c>
      <c r="L7" s="21" t="e">
        <f>+K7/#REF!</f>
        <v>#REF!</v>
      </c>
      <c r="M7" s="22" t="e">
        <f>L7-#REF!</f>
        <v>#REF!</v>
      </c>
      <c r="N7" s="23"/>
      <c r="O7" s="24" t="e">
        <f>+H7-#REF!</f>
        <v>#REF!</v>
      </c>
    </row>
    <row r="8" spans="1:15" ht="40.5" customHeight="1" x14ac:dyDescent="0.3">
      <c r="A8" s="10" t="s">
        <v>22</v>
      </c>
      <c r="B8" s="11" t="s">
        <v>20</v>
      </c>
      <c r="C8" s="12">
        <f t="shared" si="3"/>
        <v>31</v>
      </c>
      <c r="D8" s="13">
        <v>1185</v>
      </c>
      <c r="E8" s="14">
        <v>125</v>
      </c>
      <c r="F8" s="15">
        <f t="shared" si="0"/>
        <v>148.125</v>
      </c>
      <c r="G8" s="16">
        <v>0</v>
      </c>
      <c r="H8" s="17">
        <f t="shared" si="1"/>
        <v>148.125</v>
      </c>
      <c r="I8" s="18">
        <v>2</v>
      </c>
      <c r="J8" s="19">
        <v>48</v>
      </c>
      <c r="K8" s="20">
        <f t="shared" si="2"/>
        <v>148125</v>
      </c>
      <c r="L8" s="21" t="e">
        <f>+K8/#REF!</f>
        <v>#REF!</v>
      </c>
      <c r="M8" s="22" t="e">
        <f>L8-#REF!</f>
        <v>#REF!</v>
      </c>
      <c r="N8" s="23"/>
      <c r="O8" s="24" t="e">
        <f>+H8-#REF!</f>
        <v>#REF!</v>
      </c>
    </row>
    <row r="9" spans="1:15" ht="40.5" customHeight="1" x14ac:dyDescent="0.3">
      <c r="A9" s="10" t="s">
        <v>23</v>
      </c>
      <c r="B9" s="11" t="s">
        <v>20</v>
      </c>
      <c r="C9" s="12">
        <f t="shared" si="3"/>
        <v>31</v>
      </c>
      <c r="D9" s="25">
        <v>1184</v>
      </c>
      <c r="E9" s="14">
        <v>125</v>
      </c>
      <c r="F9" s="15">
        <f t="shared" si="0"/>
        <v>148</v>
      </c>
      <c r="G9" s="16">
        <v>0</v>
      </c>
      <c r="H9" s="17">
        <f t="shared" si="1"/>
        <v>148</v>
      </c>
      <c r="I9" s="18">
        <v>2</v>
      </c>
      <c r="J9" s="19">
        <v>48</v>
      </c>
      <c r="K9" s="20">
        <f t="shared" si="2"/>
        <v>148000</v>
      </c>
      <c r="L9" s="21" t="e">
        <f>+K9/#REF!</f>
        <v>#REF!</v>
      </c>
      <c r="M9" s="22" t="e">
        <f>L9-#REF!</f>
        <v>#REF!</v>
      </c>
      <c r="N9" s="23"/>
      <c r="O9" s="24" t="e">
        <f>+H9-#REF!</f>
        <v>#REF!</v>
      </c>
    </row>
    <row r="10" spans="1:15" ht="40.5" customHeight="1" x14ac:dyDescent="0.3">
      <c r="A10" s="10" t="s">
        <v>24</v>
      </c>
      <c r="B10" s="11" t="s">
        <v>20</v>
      </c>
      <c r="C10" s="12">
        <f t="shared" si="3"/>
        <v>31</v>
      </c>
      <c r="D10" s="13">
        <v>1182</v>
      </c>
      <c r="E10" s="14">
        <v>125</v>
      </c>
      <c r="F10" s="15">
        <f t="shared" si="0"/>
        <v>147.75</v>
      </c>
      <c r="G10" s="16">
        <v>0</v>
      </c>
      <c r="H10" s="17">
        <f t="shared" si="1"/>
        <v>147.75</v>
      </c>
      <c r="I10" s="18">
        <v>2</v>
      </c>
      <c r="J10" s="19">
        <v>48</v>
      </c>
      <c r="K10" s="20">
        <f t="shared" si="2"/>
        <v>147750</v>
      </c>
      <c r="L10" s="21" t="e">
        <f>+K10/#REF!</f>
        <v>#REF!</v>
      </c>
      <c r="M10" s="22" t="e">
        <f>L10-#REF!</f>
        <v>#REF!</v>
      </c>
      <c r="N10" s="23"/>
      <c r="O10" s="24" t="e">
        <f>+H10-#REF!</f>
        <v>#REF!</v>
      </c>
    </row>
    <row r="11" spans="1:15" ht="40.5" customHeight="1" x14ac:dyDescent="0.3">
      <c r="A11" s="10" t="s">
        <v>25</v>
      </c>
      <c r="B11" s="11" t="s">
        <v>20</v>
      </c>
      <c r="C11" s="12">
        <f t="shared" si="3"/>
        <v>31</v>
      </c>
      <c r="D11" s="13">
        <v>1157</v>
      </c>
      <c r="E11" s="14">
        <v>125</v>
      </c>
      <c r="F11" s="15">
        <f t="shared" si="0"/>
        <v>144.625</v>
      </c>
      <c r="G11" s="16">
        <v>0</v>
      </c>
      <c r="H11" s="17">
        <f t="shared" si="1"/>
        <v>144.625</v>
      </c>
      <c r="I11" s="18">
        <v>2</v>
      </c>
      <c r="J11" s="19">
        <v>45</v>
      </c>
      <c r="K11" s="20">
        <f t="shared" si="2"/>
        <v>144625</v>
      </c>
      <c r="L11" s="21" t="e">
        <f>+K11/#REF!</f>
        <v>#REF!</v>
      </c>
      <c r="M11" s="22" t="e">
        <f>L11-#REF!</f>
        <v>#REF!</v>
      </c>
      <c r="N11" s="23"/>
      <c r="O11" s="24" t="e">
        <f>+H11-#REF!</f>
        <v>#REF!</v>
      </c>
    </row>
    <row r="12" spans="1:15" ht="40.5" customHeight="1" x14ac:dyDescent="0.3">
      <c r="A12" s="10" t="s">
        <v>26</v>
      </c>
      <c r="B12" s="11" t="s">
        <v>20</v>
      </c>
      <c r="C12" s="12">
        <f t="shared" si="3"/>
        <v>31</v>
      </c>
      <c r="D12" s="13">
        <v>777</v>
      </c>
      <c r="E12" s="14">
        <v>125</v>
      </c>
      <c r="F12" s="15">
        <f t="shared" si="0"/>
        <v>97.125</v>
      </c>
      <c r="G12" s="16">
        <v>0</v>
      </c>
      <c r="H12" s="17">
        <f t="shared" si="1"/>
        <v>97.125</v>
      </c>
      <c r="I12" s="18">
        <v>1</v>
      </c>
      <c r="J12" s="19">
        <v>47</v>
      </c>
      <c r="K12" s="20">
        <f t="shared" si="2"/>
        <v>97125</v>
      </c>
      <c r="L12" s="21" t="e">
        <f>+K12/#REF!</f>
        <v>#REF!</v>
      </c>
      <c r="M12" s="22" t="e">
        <f>L12-#REF!</f>
        <v>#REF!</v>
      </c>
      <c r="N12" s="23"/>
      <c r="O12" s="24" t="e">
        <f>+H12-#REF!</f>
        <v>#REF!</v>
      </c>
    </row>
    <row r="13" spans="1:15" ht="40.5" customHeight="1" x14ac:dyDescent="0.3">
      <c r="A13" s="10" t="s">
        <v>27</v>
      </c>
      <c r="B13" s="11" t="s">
        <v>20</v>
      </c>
      <c r="C13" s="12">
        <f t="shared" si="3"/>
        <v>31</v>
      </c>
      <c r="D13" s="13">
        <v>1086</v>
      </c>
      <c r="E13" s="14">
        <v>125</v>
      </c>
      <c r="F13" s="15">
        <f t="shared" si="0"/>
        <v>135.75</v>
      </c>
      <c r="G13" s="16">
        <v>0</v>
      </c>
      <c r="H13" s="17">
        <f t="shared" si="1"/>
        <v>135.75</v>
      </c>
      <c r="I13" s="18">
        <v>2</v>
      </c>
      <c r="J13" s="19">
        <v>36</v>
      </c>
      <c r="K13" s="20">
        <f t="shared" si="2"/>
        <v>135750</v>
      </c>
      <c r="L13" s="21" t="e">
        <f>+K13/#REF!</f>
        <v>#REF!</v>
      </c>
      <c r="M13" s="22" t="e">
        <f>L13-#REF!</f>
        <v>#REF!</v>
      </c>
      <c r="N13" s="23"/>
      <c r="O13" s="24" t="e">
        <f>+H13-#REF!</f>
        <v>#REF!</v>
      </c>
    </row>
    <row r="14" spans="1:15" ht="40.5" customHeight="1" x14ac:dyDescent="0.3">
      <c r="A14" s="10" t="s">
        <v>28</v>
      </c>
      <c r="B14" s="11" t="s">
        <v>20</v>
      </c>
      <c r="C14" s="12">
        <f t="shared" si="3"/>
        <v>31</v>
      </c>
      <c r="D14" s="13">
        <v>1653</v>
      </c>
      <c r="E14" s="14">
        <v>125</v>
      </c>
      <c r="F14" s="15">
        <f t="shared" si="0"/>
        <v>206.625</v>
      </c>
      <c r="G14" s="16">
        <v>0</v>
      </c>
      <c r="H14" s="17">
        <f t="shared" si="1"/>
        <v>206.625</v>
      </c>
      <c r="I14" s="18">
        <v>4</v>
      </c>
      <c r="J14" s="19">
        <v>7</v>
      </c>
      <c r="K14" s="20">
        <f t="shared" si="2"/>
        <v>206625</v>
      </c>
      <c r="L14" s="21" t="e">
        <f>+K14/#REF!</f>
        <v>#REF!</v>
      </c>
      <c r="M14" s="22" t="e">
        <f>L14-#REF!</f>
        <v>#REF!</v>
      </c>
      <c r="N14" s="23"/>
      <c r="O14" s="24" t="e">
        <f>+H14-#REF!</f>
        <v>#REF!</v>
      </c>
    </row>
    <row r="15" spans="1:15" ht="40.5" customHeight="1" x14ac:dyDescent="0.3">
      <c r="A15" s="10" t="s">
        <v>29</v>
      </c>
      <c r="B15" s="11" t="s">
        <v>20</v>
      </c>
      <c r="C15" s="12">
        <f t="shared" ref="C15:C16" si="4">+C6</f>
        <v>31</v>
      </c>
      <c r="D15" s="13">
        <v>1138</v>
      </c>
      <c r="E15" s="14">
        <v>125</v>
      </c>
      <c r="F15" s="15">
        <f t="shared" si="0"/>
        <v>142.25</v>
      </c>
      <c r="G15" s="16">
        <v>0</v>
      </c>
      <c r="H15" s="17">
        <f t="shared" si="1"/>
        <v>142.25</v>
      </c>
      <c r="I15" s="18">
        <v>2</v>
      </c>
      <c r="J15" s="19">
        <v>42</v>
      </c>
      <c r="K15" s="20">
        <f t="shared" si="2"/>
        <v>142250</v>
      </c>
      <c r="L15" s="21" t="e">
        <f>+K15/#REF!</f>
        <v>#REF!</v>
      </c>
      <c r="M15" s="22" t="e">
        <f>L15-#REF!</f>
        <v>#REF!</v>
      </c>
      <c r="N15" s="23"/>
      <c r="O15" s="24" t="e">
        <f>+H15-#REF!</f>
        <v>#REF!</v>
      </c>
    </row>
    <row r="16" spans="1:15" ht="40.5" customHeight="1" x14ac:dyDescent="0.3">
      <c r="A16" s="10" t="s">
        <v>30</v>
      </c>
      <c r="B16" s="11" t="s">
        <v>20</v>
      </c>
      <c r="C16" s="12">
        <f t="shared" si="4"/>
        <v>31</v>
      </c>
      <c r="D16" s="13">
        <v>628</v>
      </c>
      <c r="E16" s="14">
        <v>125</v>
      </c>
      <c r="F16" s="15">
        <f t="shared" si="0"/>
        <v>78.5</v>
      </c>
      <c r="G16" s="16">
        <v>0</v>
      </c>
      <c r="H16" s="17">
        <f t="shared" si="1"/>
        <v>78.5</v>
      </c>
      <c r="I16" s="18">
        <v>1</v>
      </c>
      <c r="J16" s="19">
        <v>29</v>
      </c>
      <c r="K16" s="20">
        <f t="shared" si="2"/>
        <v>78500</v>
      </c>
      <c r="L16" s="21" t="e">
        <f>+K16/#REF!</f>
        <v>#REF!</v>
      </c>
      <c r="M16" s="22" t="e">
        <f>L16-#REF!</f>
        <v>#REF!</v>
      </c>
      <c r="N16" s="23"/>
      <c r="O16" s="24" t="e">
        <f>+H16-#REF!</f>
        <v>#REF!</v>
      </c>
    </row>
    <row r="17" spans="1:15" ht="48" customHeight="1" x14ac:dyDescent="0.3">
      <c r="A17" s="26" t="s">
        <v>31</v>
      </c>
      <c r="B17" s="27" t="s">
        <v>32</v>
      </c>
      <c r="C17" s="12">
        <v>72</v>
      </c>
      <c r="D17" s="28">
        <v>810</v>
      </c>
      <c r="E17" s="29">
        <v>125</v>
      </c>
      <c r="F17" s="30">
        <f t="shared" si="0"/>
        <v>101.25</v>
      </c>
      <c r="G17" s="16">
        <v>0</v>
      </c>
      <c r="H17" s="31">
        <f t="shared" si="1"/>
        <v>101.25</v>
      </c>
      <c r="I17" s="32">
        <v>2</v>
      </c>
      <c r="J17" s="33">
        <v>1</v>
      </c>
      <c r="K17" s="20">
        <f t="shared" si="2"/>
        <v>101250</v>
      </c>
      <c r="L17" s="21" t="e">
        <f>+K17/#REF!</f>
        <v>#REF!</v>
      </c>
      <c r="M17" s="22" t="e">
        <f>L17-#REF!</f>
        <v>#REF!</v>
      </c>
      <c r="N17" s="23"/>
      <c r="O17" s="24" t="e">
        <f>+H17-#REF!</f>
        <v>#REF!</v>
      </c>
    </row>
    <row r="18" spans="1:15" ht="48" customHeight="1" x14ac:dyDescent="0.3">
      <c r="A18" s="26" t="s">
        <v>33</v>
      </c>
      <c r="B18" s="27" t="s">
        <v>32</v>
      </c>
      <c r="C18" s="12">
        <f t="shared" ref="C18:C22" si="5">+C17</f>
        <v>72</v>
      </c>
      <c r="D18" s="28">
        <v>1006</v>
      </c>
      <c r="E18" s="29">
        <v>125</v>
      </c>
      <c r="F18" s="30">
        <f t="shared" si="0"/>
        <v>125.75</v>
      </c>
      <c r="G18" s="16">
        <v>0</v>
      </c>
      <c r="H18" s="31">
        <f t="shared" si="1"/>
        <v>125.75</v>
      </c>
      <c r="I18" s="32">
        <v>2</v>
      </c>
      <c r="J18" s="33">
        <v>26</v>
      </c>
      <c r="K18" s="20">
        <f t="shared" si="2"/>
        <v>125750</v>
      </c>
      <c r="L18" s="21" t="e">
        <f>+K18/#REF!</f>
        <v>#REF!</v>
      </c>
      <c r="M18" s="22" t="e">
        <f>L18-#REF!</f>
        <v>#REF!</v>
      </c>
      <c r="N18" s="23"/>
      <c r="O18" s="24" t="e">
        <f>+H18-#REF!</f>
        <v>#REF!</v>
      </c>
    </row>
    <row r="19" spans="1:15" ht="48" customHeight="1" x14ac:dyDescent="0.3">
      <c r="A19" s="26" t="s">
        <v>34</v>
      </c>
      <c r="B19" s="27" t="s">
        <v>32</v>
      </c>
      <c r="C19" s="12">
        <f t="shared" si="5"/>
        <v>72</v>
      </c>
      <c r="D19" s="28">
        <v>1224</v>
      </c>
      <c r="E19" s="29">
        <v>125</v>
      </c>
      <c r="F19" s="30">
        <f t="shared" si="0"/>
        <v>153</v>
      </c>
      <c r="G19" s="16">
        <v>0</v>
      </c>
      <c r="H19" s="31">
        <f t="shared" si="1"/>
        <v>153</v>
      </c>
      <c r="I19" s="32">
        <v>3</v>
      </c>
      <c r="J19" s="33">
        <v>3</v>
      </c>
      <c r="K19" s="20">
        <f t="shared" si="2"/>
        <v>153000</v>
      </c>
      <c r="L19" s="21" t="e">
        <f>+K19/#REF!</f>
        <v>#REF!</v>
      </c>
      <c r="M19" s="22" t="e">
        <f>L19-#REF!</f>
        <v>#REF!</v>
      </c>
      <c r="N19" s="23"/>
      <c r="O19" s="24" t="e">
        <f>+H19-#REF!</f>
        <v>#REF!</v>
      </c>
    </row>
    <row r="20" spans="1:15" ht="48" customHeight="1" x14ac:dyDescent="0.3">
      <c r="A20" s="26" t="s">
        <v>35</v>
      </c>
      <c r="B20" s="27" t="s">
        <v>32</v>
      </c>
      <c r="C20" s="12">
        <f t="shared" si="5"/>
        <v>72</v>
      </c>
      <c r="D20" s="28">
        <v>1247</v>
      </c>
      <c r="E20" s="29">
        <v>125</v>
      </c>
      <c r="F20" s="30">
        <f t="shared" si="0"/>
        <v>155.875</v>
      </c>
      <c r="G20" s="16">
        <v>0</v>
      </c>
      <c r="H20" s="31">
        <f t="shared" si="1"/>
        <v>155.875</v>
      </c>
      <c r="I20" s="32">
        <v>3</v>
      </c>
      <c r="J20" s="33">
        <v>6</v>
      </c>
      <c r="K20" s="20">
        <f t="shared" si="2"/>
        <v>155875</v>
      </c>
      <c r="L20" s="21" t="e">
        <f>+K20/#REF!</f>
        <v>#REF!</v>
      </c>
      <c r="M20" s="22" t="e">
        <f>L20-#REF!</f>
        <v>#REF!</v>
      </c>
      <c r="N20" s="23"/>
      <c r="O20" s="24" t="e">
        <f>+H20-#REF!</f>
        <v>#REF!</v>
      </c>
    </row>
    <row r="21" spans="1:15" ht="48" customHeight="1" x14ac:dyDescent="0.3">
      <c r="A21" s="26" t="s">
        <v>36</v>
      </c>
      <c r="B21" s="27" t="s">
        <v>32</v>
      </c>
      <c r="C21" s="12">
        <f t="shared" si="5"/>
        <v>72</v>
      </c>
      <c r="D21" s="28">
        <v>1314</v>
      </c>
      <c r="E21" s="29">
        <v>125</v>
      </c>
      <c r="F21" s="30">
        <f t="shared" si="0"/>
        <v>164.25</v>
      </c>
      <c r="G21" s="16">
        <v>0</v>
      </c>
      <c r="H21" s="31">
        <f t="shared" si="1"/>
        <v>164.25</v>
      </c>
      <c r="I21" s="32">
        <v>3</v>
      </c>
      <c r="J21" s="33">
        <v>14</v>
      </c>
      <c r="K21" s="20">
        <f t="shared" si="2"/>
        <v>164250</v>
      </c>
      <c r="L21" s="21" t="e">
        <f>+K21/#REF!</f>
        <v>#REF!</v>
      </c>
      <c r="M21" s="22" t="e">
        <f>L21-#REF!</f>
        <v>#REF!</v>
      </c>
      <c r="N21" s="23"/>
      <c r="O21" s="24" t="e">
        <f>+H21-#REF!</f>
        <v>#REF!</v>
      </c>
    </row>
    <row r="22" spans="1:15" ht="48" customHeight="1" x14ac:dyDescent="0.3">
      <c r="A22" s="26" t="s">
        <v>37</v>
      </c>
      <c r="B22" s="27" t="s">
        <v>32</v>
      </c>
      <c r="C22" s="12">
        <f t="shared" si="5"/>
        <v>72</v>
      </c>
      <c r="D22" s="28">
        <v>750</v>
      </c>
      <c r="E22" s="29">
        <v>125</v>
      </c>
      <c r="F22" s="30">
        <f t="shared" si="0"/>
        <v>93.75</v>
      </c>
      <c r="G22" s="16">
        <v>0</v>
      </c>
      <c r="H22" s="31">
        <f t="shared" si="1"/>
        <v>93.75</v>
      </c>
      <c r="I22" s="32">
        <v>1</v>
      </c>
      <c r="J22" s="33">
        <v>44</v>
      </c>
      <c r="K22" s="20">
        <f t="shared" si="2"/>
        <v>93750</v>
      </c>
      <c r="L22" s="21" t="e">
        <f>+K22/#REF!</f>
        <v>#REF!</v>
      </c>
      <c r="M22" s="22" t="e">
        <f>L22-#REF!</f>
        <v>#REF!</v>
      </c>
      <c r="N22" s="23"/>
      <c r="O22" s="24" t="e">
        <f>+H22-#REF!</f>
        <v>#REF!</v>
      </c>
    </row>
    <row r="23" spans="1:15" ht="48" customHeight="1" x14ac:dyDescent="0.3">
      <c r="A23" s="26" t="s">
        <v>38</v>
      </c>
      <c r="B23" s="27" t="s">
        <v>32</v>
      </c>
      <c r="C23" s="12">
        <f>+C17</f>
        <v>72</v>
      </c>
      <c r="D23" s="28">
        <v>757</v>
      </c>
      <c r="E23" s="29">
        <v>125</v>
      </c>
      <c r="F23" s="30">
        <f t="shared" si="0"/>
        <v>94.625</v>
      </c>
      <c r="G23" s="16">
        <v>0</v>
      </c>
      <c r="H23" s="31">
        <f t="shared" si="1"/>
        <v>94.625</v>
      </c>
      <c r="I23" s="32">
        <v>1</v>
      </c>
      <c r="J23" s="33">
        <v>45</v>
      </c>
      <c r="K23" s="20">
        <f t="shared" si="2"/>
        <v>94625</v>
      </c>
      <c r="L23" s="21" t="e">
        <f>+K23/#REF!</f>
        <v>#REF!</v>
      </c>
      <c r="M23" s="22" t="e">
        <f>L23-#REF!</f>
        <v>#REF!</v>
      </c>
      <c r="N23" s="23"/>
      <c r="O23" s="24" t="e">
        <f>+H23-#REF!</f>
        <v>#REF!</v>
      </c>
    </row>
    <row r="24" spans="1:15" ht="48" customHeight="1" x14ac:dyDescent="0.3">
      <c r="A24" s="26" t="s">
        <v>39</v>
      </c>
      <c r="B24" s="27" t="s">
        <v>32</v>
      </c>
      <c r="C24" s="12">
        <f>+C17</f>
        <v>72</v>
      </c>
      <c r="D24" s="28">
        <v>1040</v>
      </c>
      <c r="E24" s="29">
        <v>125</v>
      </c>
      <c r="F24" s="30">
        <f t="shared" si="0"/>
        <v>130</v>
      </c>
      <c r="G24" s="16">
        <v>0</v>
      </c>
      <c r="H24" s="31">
        <f t="shared" si="1"/>
        <v>130</v>
      </c>
      <c r="I24" s="32">
        <v>2</v>
      </c>
      <c r="J24" s="33">
        <v>30</v>
      </c>
      <c r="K24" s="20">
        <f t="shared" si="2"/>
        <v>130000</v>
      </c>
      <c r="L24" s="21" t="e">
        <f>+K24/#REF!</f>
        <v>#REF!</v>
      </c>
      <c r="M24" s="22" t="e">
        <f>L24-#REF!</f>
        <v>#REF!</v>
      </c>
      <c r="N24" s="23"/>
      <c r="O24" s="24" t="e">
        <f>+H24-#REF!</f>
        <v>#REF!</v>
      </c>
    </row>
    <row r="25" spans="1:15" ht="40.5" customHeight="1" x14ac:dyDescent="0.4">
      <c r="A25" s="34" t="s">
        <v>40</v>
      </c>
      <c r="B25" s="35"/>
      <c r="C25" s="35"/>
      <c r="D25" s="36">
        <f t="shared" ref="D25:N25" si="6">SUM(D6:D24)</f>
        <v>20397</v>
      </c>
      <c r="E25" s="36"/>
      <c r="F25" s="36">
        <f t="shared" si="6"/>
        <v>2549.625</v>
      </c>
      <c r="G25" s="36">
        <f t="shared" si="6"/>
        <v>0</v>
      </c>
      <c r="H25" s="37">
        <f t="shared" si="6"/>
        <v>2549.625</v>
      </c>
      <c r="I25" s="37">
        <f t="shared" si="6"/>
        <v>40</v>
      </c>
      <c r="J25" s="37">
        <f t="shared" si="6"/>
        <v>552</v>
      </c>
      <c r="K25" s="38">
        <f t="shared" si="6"/>
        <v>2549625</v>
      </c>
      <c r="L25" s="38" t="e">
        <f t="shared" si="6"/>
        <v>#REF!</v>
      </c>
      <c r="M25" s="38" t="e">
        <f t="shared" si="6"/>
        <v>#REF!</v>
      </c>
      <c r="N25" s="38">
        <f t="shared" si="6"/>
        <v>0</v>
      </c>
      <c r="O25" s="24" t="e">
        <f>+H25-#REF!</f>
        <v>#REF!</v>
      </c>
    </row>
    <row r="26" spans="1:15" ht="15" customHeight="1" x14ac:dyDescent="0.3">
      <c r="A26" s="39"/>
      <c r="B26" s="39"/>
      <c r="C26" s="39"/>
      <c r="D26" s="40"/>
      <c r="E26" s="41"/>
      <c r="F26" s="41"/>
      <c r="G26" s="40">
        <f>+F25-G25</f>
        <v>2549.625</v>
      </c>
      <c r="H26" s="40"/>
      <c r="I26" s="41"/>
      <c r="J26" s="40">
        <f>+I25*50+J25</f>
        <v>2552</v>
      </c>
      <c r="K26" s="40"/>
      <c r="L26" s="41"/>
      <c r="M26" s="42"/>
      <c r="N26" s="42"/>
      <c r="O26" s="24"/>
    </row>
    <row r="27" spans="1:15" ht="15" customHeight="1" x14ac:dyDescent="0.3">
      <c r="A27" s="43"/>
      <c r="B27" s="44"/>
      <c r="C27" s="45" t="s">
        <v>41</v>
      </c>
      <c r="D27" s="45"/>
      <c r="E27" s="46" t="s">
        <v>42</v>
      </c>
      <c r="F27" s="47"/>
      <c r="G27" s="47"/>
      <c r="H27" s="44"/>
      <c r="I27" s="48"/>
      <c r="J27" s="48"/>
      <c r="K27" s="48"/>
      <c r="L27" s="48"/>
      <c r="M27" s="49"/>
      <c r="N27" s="50"/>
      <c r="O27" s="50"/>
    </row>
    <row r="28" spans="1:15" ht="15" customHeight="1" x14ac:dyDescent="0.3">
      <c r="A28" s="51" t="s">
        <v>43</v>
      </c>
      <c r="B28" s="52"/>
      <c r="C28" s="53">
        <f>+SUM(D17:D24)</f>
        <v>8148</v>
      </c>
      <c r="D28" s="54"/>
      <c r="E28" s="55">
        <f>+H25</f>
        <v>2549.625</v>
      </c>
      <c r="F28" s="56"/>
      <c r="G28" s="57" t="s">
        <v>44</v>
      </c>
      <c r="H28" s="57" t="s">
        <v>45</v>
      </c>
      <c r="I28" s="58" t="s">
        <v>46</v>
      </c>
      <c r="J28" s="59"/>
      <c r="K28" s="60"/>
      <c r="L28" s="61"/>
      <c r="M28" s="49"/>
      <c r="N28" s="62"/>
      <c r="O28" s="62"/>
    </row>
    <row r="29" spans="1:15" ht="15" customHeight="1" x14ac:dyDescent="0.3">
      <c r="A29" s="63" t="s">
        <v>47</v>
      </c>
      <c r="B29" s="64"/>
      <c r="C29" s="53">
        <f>+SUM(D6:D16)</f>
        <v>12249</v>
      </c>
      <c r="D29" s="54"/>
      <c r="E29" s="65"/>
      <c r="F29" s="66"/>
      <c r="G29" s="67"/>
      <c r="H29" s="67"/>
      <c r="I29" s="68" t="s">
        <v>46</v>
      </c>
      <c r="J29" s="69"/>
      <c r="K29" s="70"/>
      <c r="L29" s="71"/>
      <c r="M29" s="72"/>
      <c r="N29" s="73"/>
      <c r="O29" s="73"/>
    </row>
    <row r="30" spans="1:15" ht="15" customHeight="1" x14ac:dyDescent="0.3">
      <c r="A30" s="48" t="s">
        <v>48</v>
      </c>
      <c r="B30" s="48"/>
      <c r="C30" s="74">
        <f>+C29+C28</f>
        <v>20397</v>
      </c>
      <c r="D30" s="75"/>
      <c r="E30" s="76">
        <f>SUM(E28:F29)</f>
        <v>2549.625</v>
      </c>
      <c r="F30" s="77"/>
      <c r="G30" s="76">
        <f>SUM(H28:H29)</f>
        <v>0</v>
      </c>
      <c r="H30" s="77"/>
      <c r="I30" s="78"/>
      <c r="J30" s="79"/>
      <c r="K30" s="80"/>
      <c r="L30" s="80"/>
      <c r="M30" s="81"/>
      <c r="N30" s="81"/>
      <c r="O30" s="82"/>
    </row>
    <row r="31" spans="1:15" ht="15" customHeight="1" x14ac:dyDescent="0.3">
      <c r="A31" s="83" t="s">
        <v>49</v>
      </c>
      <c r="B31" s="83"/>
      <c r="C31" s="83"/>
      <c r="D31" s="83"/>
      <c r="E31" s="42"/>
      <c r="F31" s="42"/>
      <c r="G31" s="84"/>
      <c r="H31" s="84"/>
      <c r="I31" s="42"/>
      <c r="J31" s="42"/>
      <c r="K31" s="84"/>
      <c r="L31" s="42"/>
      <c r="M31" s="42"/>
      <c r="N31" s="42"/>
      <c r="O31" s="42"/>
    </row>
    <row r="32" spans="1:15" ht="15" customHeight="1" x14ac:dyDescent="0.3">
      <c r="K32" s="85"/>
    </row>
    <row r="33" spans="1:23" ht="15.6" x14ac:dyDescent="0.3">
      <c r="A33" s="86"/>
      <c r="B33" s="86" t="s">
        <v>50</v>
      </c>
      <c r="C33" s="86"/>
      <c r="D33" s="86"/>
      <c r="E33" s="86" t="s">
        <v>51</v>
      </c>
      <c r="F33" s="86"/>
      <c r="G33" s="86"/>
      <c r="H33" s="86"/>
      <c r="I33" s="86"/>
      <c r="J33" s="86" t="s">
        <v>52</v>
      </c>
      <c r="M33" s="87"/>
    </row>
    <row r="34" spans="1:23" ht="2.25" customHeight="1" x14ac:dyDescent="0.3"/>
    <row r="35" spans="1:23" hidden="1" x14ac:dyDescent="0.3"/>
    <row r="36" spans="1:23" ht="27.75" customHeight="1" x14ac:dyDescent="0.3">
      <c r="T36" s="88" t="s">
        <v>53</v>
      </c>
      <c r="U36" s="89"/>
      <c r="V36" s="89"/>
      <c r="W36" s="90"/>
    </row>
    <row r="37" spans="1:23" ht="15" customHeight="1" x14ac:dyDescent="0.3">
      <c r="T37" s="91"/>
      <c r="U37" s="92"/>
      <c r="V37" s="92"/>
      <c r="W37" s="93"/>
    </row>
    <row r="38" spans="1:23" ht="23.4" x14ac:dyDescent="0.3">
      <c r="T38" s="94" t="str">
        <f>+A3</f>
        <v>Hari/Tanggal : KAMIS, 3 SEPTEMBER 2026</v>
      </c>
      <c r="U38" s="94"/>
      <c r="V38" s="94"/>
      <c r="W38" s="94"/>
    </row>
    <row r="39" spans="1:23" ht="26.25" customHeight="1" x14ac:dyDescent="0.5">
      <c r="T39" s="95" t="s">
        <v>54</v>
      </c>
      <c r="U39" s="96" t="s">
        <v>55</v>
      </c>
      <c r="V39" s="97"/>
      <c r="W39" s="98"/>
    </row>
    <row r="40" spans="1:23" ht="21.75" customHeight="1" x14ac:dyDescent="0.5">
      <c r="T40" s="99"/>
      <c r="U40" s="100" t="s">
        <v>56</v>
      </c>
      <c r="V40" s="100" t="s">
        <v>17</v>
      </c>
      <c r="W40" s="101" t="s">
        <v>56</v>
      </c>
    </row>
    <row r="41" spans="1:23" ht="51.6" x14ac:dyDescent="0.95">
      <c r="T41" s="102" t="s">
        <v>19</v>
      </c>
      <c r="U41" s="103">
        <v>117.5</v>
      </c>
      <c r="V41" s="104">
        <v>2</v>
      </c>
      <c r="W41" s="105">
        <v>18</v>
      </c>
    </row>
    <row r="42" spans="1:23" ht="51.6" x14ac:dyDescent="0.95">
      <c r="T42" s="102" t="s">
        <v>21</v>
      </c>
      <c r="U42" s="103">
        <v>164.875</v>
      </c>
      <c r="V42" s="104">
        <v>3</v>
      </c>
      <c r="W42" s="105">
        <v>15</v>
      </c>
    </row>
    <row r="43" spans="1:23" ht="51.6" x14ac:dyDescent="0.95">
      <c r="T43" s="102" t="s">
        <v>22</v>
      </c>
      <c r="U43" s="103">
        <v>148.125</v>
      </c>
      <c r="V43" s="104">
        <v>2</v>
      </c>
      <c r="W43" s="105">
        <v>48</v>
      </c>
    </row>
    <row r="44" spans="1:23" ht="51.6" x14ac:dyDescent="0.95">
      <c r="T44" s="102" t="s">
        <v>23</v>
      </c>
      <c r="U44" s="103">
        <v>148</v>
      </c>
      <c r="V44" s="104">
        <v>2</v>
      </c>
      <c r="W44" s="105">
        <v>48</v>
      </c>
    </row>
    <row r="45" spans="1:23" ht="51.6" x14ac:dyDescent="0.95">
      <c r="T45" s="102" t="s">
        <v>24</v>
      </c>
      <c r="U45" s="103">
        <v>147.75</v>
      </c>
      <c r="V45" s="104">
        <v>2</v>
      </c>
      <c r="W45" s="105">
        <v>48</v>
      </c>
    </row>
    <row r="46" spans="1:23" ht="51.6" x14ac:dyDescent="0.95">
      <c r="G46" s="2" t="s">
        <v>57</v>
      </c>
      <c r="T46" s="102" t="s">
        <v>25</v>
      </c>
      <c r="U46" s="103">
        <v>144.625</v>
      </c>
      <c r="V46" s="104">
        <v>2</v>
      </c>
      <c r="W46" s="105">
        <v>45</v>
      </c>
    </row>
    <row r="47" spans="1:23" ht="51.6" x14ac:dyDescent="0.95">
      <c r="T47" s="102" t="s">
        <v>26</v>
      </c>
      <c r="U47" s="103">
        <v>97.125</v>
      </c>
      <c r="V47" s="104">
        <v>1</v>
      </c>
      <c r="W47" s="105">
        <v>47</v>
      </c>
    </row>
    <row r="48" spans="1:23" ht="51.6" x14ac:dyDescent="0.95">
      <c r="T48" s="102" t="s">
        <v>27</v>
      </c>
      <c r="U48" s="103">
        <v>135.75</v>
      </c>
      <c r="V48" s="104">
        <v>2</v>
      </c>
      <c r="W48" s="105">
        <v>36</v>
      </c>
    </row>
    <row r="49" spans="17:23" ht="51.6" x14ac:dyDescent="0.95">
      <c r="T49" s="102" t="s">
        <v>28</v>
      </c>
      <c r="U49" s="103">
        <v>206.625</v>
      </c>
      <c r="V49" s="104">
        <v>4</v>
      </c>
      <c r="W49" s="105">
        <v>7</v>
      </c>
    </row>
    <row r="50" spans="17:23" ht="51.6" x14ac:dyDescent="0.95">
      <c r="T50" s="102" t="s">
        <v>29</v>
      </c>
      <c r="U50" s="103">
        <v>142.25</v>
      </c>
      <c r="V50" s="104">
        <v>2</v>
      </c>
      <c r="W50" s="105">
        <v>42</v>
      </c>
    </row>
    <row r="51" spans="17:23" ht="51.6" x14ac:dyDescent="0.95">
      <c r="T51" s="102" t="s">
        <v>30</v>
      </c>
      <c r="U51" s="103">
        <v>78.5</v>
      </c>
      <c r="V51" s="104">
        <v>1</v>
      </c>
      <c r="W51" s="105">
        <v>29</v>
      </c>
    </row>
    <row r="52" spans="17:23" ht="51.6" x14ac:dyDescent="0.95">
      <c r="Q52" s="106"/>
      <c r="T52" s="107" t="s">
        <v>58</v>
      </c>
      <c r="U52" s="108">
        <v>101.375</v>
      </c>
      <c r="V52" s="109">
        <v>2</v>
      </c>
      <c r="W52" s="110">
        <v>1</v>
      </c>
    </row>
    <row r="53" spans="17:23" ht="41.25" customHeight="1" x14ac:dyDescent="0.95">
      <c r="T53" s="107" t="s">
        <v>59</v>
      </c>
      <c r="U53" s="108">
        <v>125.75</v>
      </c>
      <c r="V53" s="109">
        <v>2</v>
      </c>
      <c r="W53" s="110">
        <v>26</v>
      </c>
    </row>
    <row r="54" spans="17:23" ht="44.25" customHeight="1" x14ac:dyDescent="0.95">
      <c r="T54" s="107" t="s">
        <v>60</v>
      </c>
      <c r="U54" s="108">
        <v>153.25</v>
      </c>
      <c r="V54" s="109">
        <v>3</v>
      </c>
      <c r="W54" s="110">
        <v>3</v>
      </c>
    </row>
    <row r="55" spans="17:23" ht="45.75" customHeight="1" x14ac:dyDescent="0.95">
      <c r="T55" s="107" t="s">
        <v>61</v>
      </c>
      <c r="U55" s="108">
        <v>156</v>
      </c>
      <c r="V55" s="109">
        <v>3</v>
      </c>
      <c r="W55" s="110">
        <v>6</v>
      </c>
    </row>
    <row r="56" spans="17:23" ht="45.75" customHeight="1" x14ac:dyDescent="0.95">
      <c r="T56" s="107" t="s">
        <v>62</v>
      </c>
      <c r="U56" s="108">
        <v>164.375</v>
      </c>
      <c r="V56" s="109">
        <v>3</v>
      </c>
      <c r="W56" s="110">
        <v>14</v>
      </c>
    </row>
    <row r="57" spans="17:23" ht="51.6" x14ac:dyDescent="0.95">
      <c r="T57" s="107" t="s">
        <v>63</v>
      </c>
      <c r="U57" s="108">
        <v>93.75</v>
      </c>
      <c r="V57" s="109">
        <v>1</v>
      </c>
      <c r="W57" s="110">
        <v>44</v>
      </c>
    </row>
    <row r="58" spans="17:23" ht="51.6" x14ac:dyDescent="0.95">
      <c r="T58" s="107" t="s">
        <v>64</v>
      </c>
      <c r="U58" s="108">
        <v>94.625</v>
      </c>
      <c r="V58" s="109">
        <v>1</v>
      </c>
      <c r="W58" s="110">
        <v>45</v>
      </c>
    </row>
    <row r="59" spans="17:23" ht="51.6" x14ac:dyDescent="0.95">
      <c r="T59" s="107" t="s">
        <v>65</v>
      </c>
      <c r="U59" s="108">
        <v>130.125</v>
      </c>
      <c r="V59" s="109">
        <v>2</v>
      </c>
      <c r="W59" s="110">
        <v>30</v>
      </c>
    </row>
    <row r="60" spans="17:23" ht="46.2" x14ac:dyDescent="0.85">
      <c r="T60" s="111"/>
      <c r="U60" s="112">
        <f>SUM(U41:U59)</f>
        <v>2550.375</v>
      </c>
      <c r="V60" s="112">
        <f>SUM(V41:V59)</f>
        <v>40</v>
      </c>
      <c r="W60" s="112">
        <f>SUM(W41:W59)</f>
        <v>552</v>
      </c>
    </row>
    <row r="61" spans="17:23" ht="46.2" x14ac:dyDescent="0.85">
      <c r="T61" s="113" t="s">
        <v>66</v>
      </c>
      <c r="U61" s="114">
        <f t="shared" ref="U61:V61" si="7">+U60</f>
        <v>2550.375</v>
      </c>
      <c r="V61" s="114">
        <f t="shared" si="7"/>
        <v>40</v>
      </c>
      <c r="W61" s="114">
        <f>+W60</f>
        <v>552</v>
      </c>
    </row>
    <row r="62" spans="17:23" x14ac:dyDescent="0.3">
      <c r="U62" s="106"/>
    </row>
  </sheetData>
  <mergeCells count="37">
    <mergeCell ref="A31:D31"/>
    <mergeCell ref="T36:W37"/>
    <mergeCell ref="T38:W38"/>
    <mergeCell ref="T39:T40"/>
    <mergeCell ref="U39:W39"/>
    <mergeCell ref="H28:H29"/>
    <mergeCell ref="I28:J28"/>
    <mergeCell ref="A29:B29"/>
    <mergeCell ref="C29:D29"/>
    <mergeCell ref="I29:J29"/>
    <mergeCell ref="C30:D30"/>
    <mergeCell ref="E30:F30"/>
    <mergeCell ref="G30:H30"/>
    <mergeCell ref="I30:J30"/>
    <mergeCell ref="A26:C26"/>
    <mergeCell ref="C27:D27"/>
    <mergeCell ref="E27:G27"/>
    <mergeCell ref="A28:B28"/>
    <mergeCell ref="C28:D28"/>
    <mergeCell ref="E28:F29"/>
    <mergeCell ref="G28:G29"/>
    <mergeCell ref="H4:J4"/>
    <mergeCell ref="K4:K5"/>
    <mergeCell ref="L4:L5"/>
    <mergeCell ref="M4:M5"/>
    <mergeCell ref="N4:N5"/>
    <mergeCell ref="O4:O5"/>
    <mergeCell ref="A1:O1"/>
    <mergeCell ref="A2:O2"/>
    <mergeCell ref="A3:E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" right="0" top="0" bottom="0" header="0.31496062992126" footer="0.31496062992126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2026-09-03T10:49:59Z</dcterms:created>
  <dcterms:modified xsi:type="dcterms:W3CDTF">2026-09-03T10:50:17Z</dcterms:modified>
</cp:coreProperties>
</file>